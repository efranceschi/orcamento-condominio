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681D4A2-13BF-42C1-ACE9-3C5FD6D97D0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eça Orçamentária - Analítica" sheetId="3" r:id="rId1"/>
    <sheet name="Peça Orçamentária - Sintética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3" l="1"/>
  <c r="D120" i="3"/>
  <c r="D121" i="3"/>
  <c r="D117" i="3"/>
  <c r="D118" i="3"/>
  <c r="C136" i="3"/>
  <c r="D142" i="3"/>
  <c r="D143" i="3"/>
  <c r="D144" i="3"/>
  <c r="D145" i="3"/>
  <c r="D141" i="3"/>
  <c r="D138" i="3"/>
  <c r="D139" i="3"/>
  <c r="D137" i="3"/>
  <c r="D115" i="3"/>
  <c r="D116" i="3"/>
  <c r="C16" i="3"/>
  <c r="C140" i="3"/>
  <c r="F137" i="3"/>
  <c r="F138" i="3"/>
  <c r="F139" i="3"/>
  <c r="E139" i="3" s="1"/>
  <c r="F141" i="3"/>
  <c r="E141" i="3" s="1"/>
  <c r="F142" i="3"/>
  <c r="F143" i="3"/>
  <c r="F144" i="3"/>
  <c r="F145" i="3"/>
  <c r="H5" i="4"/>
  <c r="H8" i="4"/>
  <c r="H7" i="4"/>
  <c r="H6" i="4"/>
  <c r="E143" i="3"/>
  <c r="E140" i="3" s="1"/>
  <c r="E145" i="3"/>
  <c r="E137" i="3"/>
  <c r="E136" i="3" s="1"/>
  <c r="B136" i="3"/>
  <c r="F136" i="3" s="1"/>
  <c r="E146" i="3" l="1"/>
  <c r="D136" i="3"/>
  <c r="C146" i="3"/>
  <c r="H10" i="4"/>
  <c r="B140" i="3"/>
  <c r="B146" i="3" s="1"/>
  <c r="D146" i="3" l="1"/>
  <c r="D7" i="3"/>
  <c r="D8" i="3"/>
  <c r="B128" i="3"/>
  <c r="B122" i="3"/>
  <c r="B113" i="3"/>
  <c r="B100" i="3"/>
  <c r="B96" i="3"/>
  <c r="B87" i="3"/>
  <c r="B73" i="3"/>
  <c r="B59" i="3"/>
  <c r="B34" i="3"/>
  <c r="B24" i="3"/>
  <c r="B21" i="3"/>
  <c r="B16" i="3"/>
  <c r="B11" i="3"/>
  <c r="B6" i="3"/>
  <c r="B132" i="3" l="1"/>
  <c r="B4" i="3"/>
  <c r="D140" i="3" l="1"/>
  <c r="D84" i="3"/>
  <c r="C18" i="4" l="1"/>
  <c r="E18" i="4"/>
  <c r="B18" i="4"/>
  <c r="C6" i="3"/>
  <c r="C11" i="3"/>
  <c r="C21" i="3"/>
  <c r="C24" i="3"/>
  <c r="C34" i="3"/>
  <c r="C5" i="4" s="1"/>
  <c r="C59" i="3"/>
  <c r="C6" i="4" s="1"/>
  <c r="C73" i="3"/>
  <c r="C7" i="4" s="1"/>
  <c r="C87" i="3"/>
  <c r="C8" i="4" s="1"/>
  <c r="C96" i="3"/>
  <c r="C9" i="4" s="1"/>
  <c r="C100" i="3"/>
  <c r="C10" i="4" s="1"/>
  <c r="C113" i="3"/>
  <c r="C11" i="4" s="1"/>
  <c r="C122" i="3"/>
  <c r="C12" i="4" s="1"/>
  <c r="C128" i="3"/>
  <c r="C13" i="4" s="1"/>
  <c r="E59" i="3"/>
  <c r="E6" i="4" s="1"/>
  <c r="B6" i="4"/>
  <c r="B12" i="4"/>
  <c r="B7" i="4"/>
  <c r="D18" i="4"/>
  <c r="B8" i="4"/>
  <c r="E113" i="3"/>
  <c r="E11" i="4" s="1"/>
  <c r="B11" i="4"/>
  <c r="D114" i="3"/>
  <c r="B19" i="4"/>
  <c r="E128" i="3"/>
  <c r="E13" i="4" s="1"/>
  <c r="B10" i="4"/>
  <c r="B9" i="4"/>
  <c r="E96" i="3"/>
  <c r="E9" i="4" s="1"/>
  <c r="B5" i="4"/>
  <c r="E34" i="3"/>
  <c r="E5" i="4" s="1"/>
  <c r="B13" i="4"/>
  <c r="C20" i="4" l="1"/>
  <c r="C19" i="4"/>
  <c r="C132" i="3"/>
  <c r="C4" i="3"/>
  <c r="C4" i="4" s="1"/>
  <c r="B14" i="4"/>
  <c r="D113" i="3"/>
  <c r="D11" i="4" s="1"/>
  <c r="B4" i="4"/>
  <c r="B20" i="4" l="1"/>
  <c r="C14" i="4"/>
  <c r="D131" i="3"/>
  <c r="D130" i="3"/>
  <c r="D129" i="3"/>
  <c r="D127" i="3"/>
  <c r="D126" i="3"/>
  <c r="D125" i="3"/>
  <c r="D124" i="3"/>
  <c r="D123" i="3"/>
  <c r="E122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E100" i="3"/>
  <c r="D99" i="3"/>
  <c r="D98" i="3"/>
  <c r="D97" i="3"/>
  <c r="D95" i="3"/>
  <c r="D94" i="3"/>
  <c r="D93" i="3"/>
  <c r="D92" i="3"/>
  <c r="D91" i="3"/>
  <c r="D90" i="3"/>
  <c r="D89" i="3"/>
  <c r="D88" i="3"/>
  <c r="E87" i="3"/>
  <c r="D86" i="3"/>
  <c r="D85" i="3"/>
  <c r="D83" i="3"/>
  <c r="D82" i="3"/>
  <c r="D81" i="3"/>
  <c r="D80" i="3"/>
  <c r="D79" i="3"/>
  <c r="D78" i="3"/>
  <c r="D77" i="3"/>
  <c r="D76" i="3"/>
  <c r="D75" i="3"/>
  <c r="D74" i="3"/>
  <c r="E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8" i="3"/>
  <c r="D57" i="3"/>
  <c r="D56" i="3"/>
  <c r="D55" i="3"/>
  <c r="D54" i="3"/>
  <c r="D53" i="3"/>
  <c r="D52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3" i="3"/>
  <c r="D32" i="3"/>
  <c r="D31" i="3"/>
  <c r="D30" i="3"/>
  <c r="D29" i="3"/>
  <c r="D28" i="3"/>
  <c r="D27" i="3"/>
  <c r="D26" i="3"/>
  <c r="D25" i="3"/>
  <c r="E24" i="3"/>
  <c r="D23" i="3"/>
  <c r="D22" i="3"/>
  <c r="E21" i="3"/>
  <c r="D20" i="3"/>
  <c r="D19" i="3"/>
  <c r="D18" i="3"/>
  <c r="D17" i="3"/>
  <c r="E16" i="3"/>
  <c r="D15" i="3"/>
  <c r="D13" i="3"/>
  <c r="D12" i="3"/>
  <c r="E11" i="3"/>
  <c r="D10" i="3"/>
  <c r="D9" i="3"/>
  <c r="E6" i="3"/>
  <c r="E8" i="4" l="1"/>
  <c r="E10" i="4"/>
  <c r="E12" i="4"/>
  <c r="E19" i="4"/>
  <c r="E7" i="4"/>
  <c r="E4" i="3"/>
  <c r="D59" i="3"/>
  <c r="D6" i="4" s="1"/>
  <c r="E20" i="4"/>
  <c r="E132" i="3"/>
  <c r="D128" i="3"/>
  <c r="D13" i="4" s="1"/>
  <c r="D100" i="3"/>
  <c r="D10" i="4" s="1"/>
  <c r="D73" i="3"/>
  <c r="D7" i="4" s="1"/>
  <c r="D34" i="3"/>
  <c r="D5" i="4" s="1"/>
  <c r="D24" i="3"/>
  <c r="D96" i="3"/>
  <c r="D9" i="4" s="1"/>
  <c r="D11" i="3"/>
  <c r="D21" i="3"/>
  <c r="D87" i="3"/>
  <c r="D8" i="4" s="1"/>
  <c r="D122" i="3"/>
  <c r="D12" i="4" s="1"/>
  <c r="D16" i="3"/>
  <c r="D6" i="3"/>
  <c r="E4" i="4" l="1"/>
  <c r="E14" i="4"/>
  <c r="D20" i="4"/>
  <c r="D19" i="4"/>
  <c r="D132" i="3"/>
  <c r="D14" i="4" s="1"/>
  <c r="D4" i="3" l="1"/>
  <c r="D4" i="4" s="1"/>
</calcChain>
</file>

<file path=xl/sharedStrings.xml><?xml version="1.0" encoding="utf-8"?>
<sst xmlns="http://schemas.openxmlformats.org/spreadsheetml/2006/main" count="199" uniqueCount="159">
  <si>
    <t>13.º Salário</t>
  </si>
  <si>
    <t>ITEM DE DESPESA</t>
  </si>
  <si>
    <t>RESULTADO</t>
  </si>
  <si>
    <t>ORÇADO</t>
  </si>
  <si>
    <t>REALIZADO</t>
  </si>
  <si>
    <t>DESPESAS GERAIS COM PESSOAL - ADM / MANUTENÇÃO</t>
  </si>
  <si>
    <t>TOTAL SALÁRIOS E ENCARGOS</t>
  </si>
  <si>
    <t>Salários / Adicionais / Horas Extras</t>
  </si>
  <si>
    <t>INSS - 25,5%</t>
  </si>
  <si>
    <t>FGTS - 8%</t>
  </si>
  <si>
    <t>PIS - 1%</t>
  </si>
  <si>
    <t>TOTAL FÉRIAS E ENCARGOS</t>
  </si>
  <si>
    <t xml:space="preserve">Férias - 33,33% </t>
  </si>
  <si>
    <t>TOTAL 13.º SALÁRIO E ENCARGOS</t>
  </si>
  <si>
    <t>PROVISÕES TRABALHISTAS</t>
  </si>
  <si>
    <t>Exames Médicos</t>
  </si>
  <si>
    <t>BENEFÍCIOS</t>
  </si>
  <si>
    <t>Vale Transporte</t>
  </si>
  <si>
    <t>Vale Cesta</t>
  </si>
  <si>
    <t>Vale Refeição</t>
  </si>
  <si>
    <t>Cesta de Natal / VR Natal</t>
  </si>
  <si>
    <t xml:space="preserve">Assistencia Médica / Odontológica </t>
  </si>
  <si>
    <t>Seguro de Vida</t>
  </si>
  <si>
    <t>Treinamentos/Cursos/Bolsa Educação</t>
  </si>
  <si>
    <t>Uniformes</t>
  </si>
  <si>
    <t>Equipamentos de Proteção Individual</t>
  </si>
  <si>
    <t>OUTRAS DESPESAS ADMINISTRATIVAS</t>
  </si>
  <si>
    <t>Cartórios e Emolumentos</t>
  </si>
  <si>
    <t>Seguro Patrimonial</t>
  </si>
  <si>
    <t>Publicação (Edital)</t>
  </si>
  <si>
    <t>Material de Escritório</t>
  </si>
  <si>
    <t>Material Copa e Cozinha</t>
  </si>
  <si>
    <t>Despesas com Reuniões / AGO / AGE</t>
  </si>
  <si>
    <t>Despesas com Sindicatos</t>
  </si>
  <si>
    <t>Conduções/Motoboy</t>
  </si>
  <si>
    <t>Material de Informática</t>
  </si>
  <si>
    <t xml:space="preserve">Provedor </t>
  </si>
  <si>
    <t>Faixas/Banners</t>
  </si>
  <si>
    <t>Material Limpeza e Higiene</t>
  </si>
  <si>
    <t>PPRA/PCMSO/LTCAT</t>
  </si>
  <si>
    <t>Estacionamentos / Pedágios</t>
  </si>
  <si>
    <t>Agua e Esgoto</t>
  </si>
  <si>
    <t xml:space="preserve">Energia Eletrica </t>
  </si>
  <si>
    <t>Despesas de Postagens</t>
  </si>
  <si>
    <t>Lavanderia</t>
  </si>
  <si>
    <t>Chaveiro</t>
  </si>
  <si>
    <t>Taxas e Licenças</t>
  </si>
  <si>
    <t>Despesas Processuais</t>
  </si>
  <si>
    <t>SERVIÇOS DE TERCEIROS</t>
  </si>
  <si>
    <t>Serviços Contratados - Contabilidade</t>
  </si>
  <si>
    <t>Serviços Contratados - Advocacia</t>
  </si>
  <si>
    <t>Serviços Contratados - Auditoria</t>
  </si>
  <si>
    <t>Serviços Contratados - Despesas com Xerox (Contrato)</t>
  </si>
  <si>
    <t>Serviços Contratados - Relógio de Ponto</t>
  </si>
  <si>
    <t>Serviços Contratados - Análise de Projetos</t>
  </si>
  <si>
    <t>Serviços Contratados - Assessoria de Rede (Colla)</t>
  </si>
  <si>
    <t>Serviços Cont. - Cont. de Acessos - BELSI</t>
  </si>
  <si>
    <t>Contrato de Manutenção de Cancelas - Grupo SIS</t>
  </si>
  <si>
    <t>Serviços Contratados - Sistema Financeiro - Marin</t>
  </si>
  <si>
    <t>MANUTENÇÃO AREAS COMUNS</t>
  </si>
  <si>
    <t>Contrato de Jardinagem - J. Vieira</t>
  </si>
  <si>
    <t>Manutenção do Jardim</t>
  </si>
  <si>
    <t>Manutenção Geral - Portaria / Adm / Serviços</t>
  </si>
  <si>
    <t>Manutenção Quadra Poliesportiva</t>
  </si>
  <si>
    <t>Manutenção Quadra de Tenis</t>
  </si>
  <si>
    <t>Manutenção dos Parques</t>
  </si>
  <si>
    <t>Manutenção Salão Multiuso</t>
  </si>
  <si>
    <t>Manutenção Academia ao ar Livre e Bicicross</t>
  </si>
  <si>
    <t>Manutenção Gerador</t>
  </si>
  <si>
    <t>Manutenção Maqs/Móveis/Equipamentos</t>
  </si>
  <si>
    <t>Manutenção de Vias Publicas</t>
  </si>
  <si>
    <t xml:space="preserve">Manutenção de áreas públicas - Dedetização </t>
  </si>
  <si>
    <t>SEGURANÇA</t>
  </si>
  <si>
    <t>Serviços Contrat. de Vigilancia - PJ (Contrato)</t>
  </si>
  <si>
    <t>Serviços Cooperados - SMAS</t>
  </si>
  <si>
    <t xml:space="preserve">Equipamentos, Sinalizadores de Trânsito e Lombadas </t>
  </si>
  <si>
    <t>Locação Sistema Monitoramento e  Cerca Elétrica - TV Alphaville</t>
  </si>
  <si>
    <t>Combustiveis e Lubrificantes - Segurança</t>
  </si>
  <si>
    <t xml:space="preserve"> Materiais de Segurança </t>
  </si>
  <si>
    <t>Locação de Veículos</t>
  </si>
  <si>
    <t>Locação de Rádios</t>
  </si>
  <si>
    <t>DESPESAS COM VEÍCULOS</t>
  </si>
  <si>
    <t>Manutenção de Veiculos</t>
  </si>
  <si>
    <t>IPVA/Licenc./Despachante</t>
  </si>
  <si>
    <t>Seguro de Veiculos</t>
  </si>
  <si>
    <t>EVENTOS SOCIAIS/ESPORTIVOS</t>
  </si>
  <si>
    <t>Decorações de Natal</t>
  </si>
  <si>
    <t>Brindes Comemorativos</t>
  </si>
  <si>
    <t>Eventos Sociais - Festa Junina</t>
  </si>
  <si>
    <t>Eventos Sociais - Festa de Natal</t>
  </si>
  <si>
    <t>Eventos Sociais - Festa dos Funcionários - Cesta de Natal</t>
  </si>
  <si>
    <t>Colônia de Férias Crianças</t>
  </si>
  <si>
    <t xml:space="preserve">Eventos Sociais - Diversos </t>
  </si>
  <si>
    <t>Materiais Esportivos</t>
  </si>
  <si>
    <t>Torneios Esportivos</t>
  </si>
  <si>
    <t>Seviços Contratos - Esportivos</t>
  </si>
  <si>
    <t>INVESTIMENTOS</t>
  </si>
  <si>
    <t>IMPOSTOS TAXAS E CONTRIBUIÇÕES</t>
  </si>
  <si>
    <t>Impostos/Taxas e Contribuições</t>
  </si>
  <si>
    <t>COFINS s/ Rendimentos de  Aplicação Financeiras</t>
  </si>
  <si>
    <t>Consultorias</t>
  </si>
  <si>
    <t>Inadimplência</t>
  </si>
  <si>
    <t>Despesas Judiciais / Custas Judiciais</t>
  </si>
  <si>
    <t>DESPESAS FINANCEIRAS</t>
  </si>
  <si>
    <t>Tarifas Bancárias</t>
  </si>
  <si>
    <t>Despesas de Cobrança</t>
  </si>
  <si>
    <t>Juros e Multas</t>
  </si>
  <si>
    <t>TOTAL DESPESAS</t>
  </si>
  <si>
    <t>CONTAS - RECEITAS</t>
  </si>
  <si>
    <t>Recuperação de Taxas - Jurídico</t>
  </si>
  <si>
    <t>Desconto de habite-se</t>
  </si>
  <si>
    <t>RECEITAS FINANCEIRAS</t>
  </si>
  <si>
    <t>Aprovação de Projetos</t>
  </si>
  <si>
    <t>TOTAL GERAL DE RECEITAS</t>
  </si>
  <si>
    <t>RECEITAS FINANCEIRAS DIVERSAS</t>
  </si>
  <si>
    <t>Provisões Ações Trabalhistas</t>
  </si>
  <si>
    <t>Serviços Contratados - Manutenção ar condicionado</t>
  </si>
  <si>
    <t>Serviços Contratados - Manutenção Usina Fotovoltaica</t>
  </si>
  <si>
    <t>Serviços Cont. - Consultas - BIOACESSO</t>
  </si>
  <si>
    <t>Apha Cup</t>
  </si>
  <si>
    <t>Locação de Equipamentos Eventos (painel LED)</t>
  </si>
  <si>
    <t>Locação de Equipamentos AGO / AGE - Painel LED</t>
  </si>
  <si>
    <t xml:space="preserve">ESTUDO DE ORÇAMENTO 2025 </t>
  </si>
  <si>
    <t>Materiais de Primeiros Socorros / Medicação</t>
  </si>
  <si>
    <t>DESPESAS GERAIS COM PESSOAL</t>
  </si>
  <si>
    <t>DA ADM / MANUTENÇÃO</t>
  </si>
  <si>
    <t>Reforma Geral da Portaria</t>
  </si>
  <si>
    <t xml:space="preserve">Troca das Placas das Vias - Identificação </t>
  </si>
  <si>
    <t>Projeto Substituição dos Pinheiros Alameda dos Cravos</t>
  </si>
  <si>
    <t>Recuperação Fundo de Reserva - Deliberação Conselho</t>
  </si>
  <si>
    <t>TAXA DE MANUTENÇÃO - FATURAMENTO</t>
  </si>
  <si>
    <t>Manutenção Elétrica / Hidráulica</t>
  </si>
  <si>
    <t>Juros e Multas Taxa de Manutenção</t>
  </si>
  <si>
    <t>Juros e Multas de Acordos</t>
  </si>
  <si>
    <t>Rendimentos Aplicação Financeira</t>
  </si>
  <si>
    <t>Receitas Diversas</t>
  </si>
  <si>
    <t>Complexo Esportivo</t>
  </si>
  <si>
    <t>Adequação da saída - Redução de uma saída / Saida de ciclistas</t>
  </si>
  <si>
    <t>2025 - 10,5 %</t>
  </si>
  <si>
    <t>10,00</t>
  </si>
  <si>
    <t>PROPOSTA 2026</t>
  </si>
  <si>
    <t>10%</t>
  </si>
  <si>
    <t>Telefonia - Fixa e Celular - PABX</t>
  </si>
  <si>
    <t xml:space="preserve">ESTUDO DE ORÇAMENTO 2026 </t>
  </si>
  <si>
    <t xml:space="preserve">Monitoramento Perímetro </t>
  </si>
  <si>
    <t>Equipamentos da Academia</t>
  </si>
  <si>
    <t>Taxa de Manuteção - Faturamento Bruto</t>
  </si>
  <si>
    <t>Taxa de Manuteção Total - Líquido</t>
  </si>
  <si>
    <t>Contratação de:</t>
  </si>
  <si>
    <t>01 Supervisor de Segurança</t>
  </si>
  <si>
    <t>01 Auxiliar Administrativa</t>
  </si>
  <si>
    <t>01 Faxineira</t>
  </si>
  <si>
    <t>PROPOSTA DE REDUÇÃO NAS DIRETORIAS</t>
  </si>
  <si>
    <t>Dir Administrativa</t>
  </si>
  <si>
    <t>Dir Segurança</t>
  </si>
  <si>
    <t>Dir Social</t>
  </si>
  <si>
    <t>Dir Manut. Obras</t>
  </si>
  <si>
    <t>TOTAL</t>
  </si>
  <si>
    <t xml:space="preserve">Contrato atual + Academia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</si>
</sst>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R$&quot;\ #,##0.00"/>
    <numFmt numFmtId="168" formatCode="#,##0.00;[Red]#,##0.00"/>
  </numFmts>
  <fonts count="15" x14ac:knownFonts="1">
    <font>
      <sz val="10"/>
      <name val="Arial"/>
    </font>
    <font>
      <b/>
      <sz val="11"/>
      <color indexed="9"/>
      <name val="Aptos"/>
      <family val="2"/>
    </font>
    <font>
      <sz val="10"/>
      <name val="Aptos"/>
      <family val="2"/>
    </font>
    <font>
      <b/>
      <sz val="11"/>
      <name val="Aptos"/>
      <family val="2"/>
    </font>
    <font>
      <b/>
      <sz val="11"/>
      <color indexed="8"/>
      <name val="Aptos"/>
      <family val="2"/>
    </font>
    <font>
      <sz val="11"/>
      <color indexed="8"/>
      <name val="Aptos"/>
      <family val="2"/>
    </font>
    <font>
      <sz val="11"/>
      <name val="Aptos"/>
      <family val="2"/>
    </font>
    <font>
      <sz val="11"/>
      <color indexed="9"/>
      <name val="Aptos"/>
      <family val="2"/>
    </font>
    <font>
      <sz val="11"/>
      <color rgb="FFFF0000"/>
      <name val="Aptos"/>
      <family val="2"/>
    </font>
    <font>
      <sz val="8"/>
      <name val="Arial"/>
      <family val="2"/>
    </font>
    <font>
      <b/>
      <sz val="11"/>
      <color rgb="FFFF0000"/>
      <name val="Aptos"/>
      <family val="2"/>
    </font>
    <font>
      <b/>
      <sz val="11"/>
      <color rgb="FF002060"/>
      <name val="Aptos"/>
      <family val="2"/>
    </font>
    <font>
      <sz val="11"/>
      <color rgb="FF002060"/>
      <name val="Aptos"/>
      <family val="2"/>
    </font>
    <font>
      <b/>
      <sz val="12"/>
      <name val="Aptos"/>
      <family val="2"/>
    </font>
    <font>
      <sz val="12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3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168" fontId="4" fillId="5" borderId="6" xfId="0" applyNumberFormat="1" applyFont="1" applyFill="1" applyBorder="1" applyAlignment="1">
      <alignment vertical="center"/>
    </xf>
    <xf numFmtId="167" fontId="3" fillId="5" borderId="6" xfId="0" applyNumberFormat="1" applyFont="1" applyFill="1" applyBorder="1" applyAlignment="1">
      <alignment horizontal="center" vertical="center"/>
    </xf>
    <xf numFmtId="168" fontId="5" fillId="2" borderId="6" xfId="0" applyNumberFormat="1" applyFont="1" applyFill="1" applyBorder="1" applyAlignment="1">
      <alignment vertical="center"/>
    </xf>
    <xf numFmtId="167" fontId="6" fillId="2" borderId="6" xfId="0" applyNumberFormat="1" applyFont="1" applyFill="1" applyBorder="1" applyAlignment="1">
      <alignment horizontal="center" vertical="center"/>
    </xf>
    <xf numFmtId="168" fontId="5" fillId="2" borderId="6" xfId="0" applyNumberFormat="1" applyFont="1" applyFill="1" applyBorder="1" applyAlignment="1">
      <alignment horizontal="left" vertical="center"/>
    </xf>
    <xf numFmtId="168" fontId="6" fillId="2" borderId="6" xfId="0" applyNumberFormat="1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168" fontId="3" fillId="5" borderId="6" xfId="0" applyNumberFormat="1" applyFont="1" applyFill="1" applyBorder="1" applyAlignment="1">
      <alignment vertical="center"/>
    </xf>
    <xf numFmtId="168" fontId="3" fillId="2" borderId="6" xfId="0" applyNumberFormat="1" applyFont="1" applyFill="1" applyBorder="1" applyAlignment="1">
      <alignment vertical="center"/>
    </xf>
    <xf numFmtId="167" fontId="3" fillId="2" borderId="6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168" fontId="6" fillId="2" borderId="6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167" fontId="6" fillId="0" borderId="6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7" fontId="3" fillId="5" borderId="8" xfId="0" applyNumberFormat="1" applyFont="1" applyFill="1" applyBorder="1" applyAlignment="1">
      <alignment horizontal="center" vertical="center"/>
    </xf>
    <xf numFmtId="167" fontId="6" fillId="2" borderId="8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left" vertical="center"/>
    </xf>
    <xf numFmtId="0" fontId="12" fillId="6" borderId="1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167" fontId="12" fillId="0" borderId="3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14" fillId="6" borderId="6" xfId="0" applyFont="1" applyFill="1" applyBorder="1" applyAlignment="1">
      <alignment horizontal="center"/>
    </xf>
    <xf numFmtId="9" fontId="14" fillId="6" borderId="6" xfId="0" applyNumberFormat="1" applyFont="1" applyFill="1" applyBorder="1" applyAlignment="1">
      <alignment horizontal="center"/>
    </xf>
    <xf numFmtId="167" fontId="3" fillId="2" borderId="8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9" fontId="14" fillId="2" borderId="0" xfId="0" applyNumberFormat="1" applyFont="1" applyFill="1" applyAlignment="1">
      <alignment horizontal="center"/>
    </xf>
    <xf numFmtId="167" fontId="14" fillId="2" borderId="0" xfId="0" applyNumberFormat="1" applyFont="1" applyFill="1" applyAlignment="1">
      <alignment horizontal="center"/>
    </xf>
    <xf numFmtId="168" fontId="6" fillId="0" borderId="6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8" fontId="3" fillId="4" borderId="6" xfId="0" applyNumberFormat="1" applyFont="1" applyFill="1" applyBorder="1" applyAlignment="1">
      <alignment vertical="center" wrapText="1"/>
    </xf>
    <xf numFmtId="167" fontId="3" fillId="4" borderId="7" xfId="0" applyNumberFormat="1" applyFont="1" applyFill="1" applyBorder="1" applyAlignment="1">
      <alignment horizontal="center" vertical="center"/>
    </xf>
    <xf numFmtId="167" fontId="3" fillId="4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7" fontId="14" fillId="6" borderId="8" xfId="0" applyNumberFormat="1" applyFont="1" applyFill="1" applyBorder="1" applyAlignment="1">
      <alignment horizontal="center" vertical="center"/>
    </xf>
    <xf numFmtId="167" fontId="14" fillId="6" borderId="9" xfId="0" applyNumberFormat="1" applyFont="1" applyFill="1" applyBorder="1" applyAlignment="1">
      <alignment horizontal="center" vertical="center"/>
    </xf>
    <xf numFmtId="167" fontId="14" fillId="6" borderId="10" xfId="0" applyNumberFormat="1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C3BE-99A0-469B-A48D-03BD98FEAA19}">
  <dimension ref="A1:I168"/>
  <sheetViews>
    <sheetView topLeftCell="A127" zoomScale="93" zoomScaleNormal="93" workbookViewId="0">
      <selection activeCell="E126" sqref="E126"/>
    </sheetView>
  </sheetViews>
  <sheetFormatPr defaultColWidth="8.90625" defaultRowHeight="14.5" x14ac:dyDescent="0.35"/>
  <cols>
    <col min="1" max="1" width="58.08984375" style="16" bestFit="1" customWidth="1"/>
    <col min="2" max="2" width="16.453125" style="17" bestFit="1" customWidth="1"/>
    <col min="3" max="3" width="21.36328125" style="17" bestFit="1" customWidth="1"/>
    <col min="4" max="4" width="16.90625" style="17" bestFit="1" customWidth="1"/>
    <col min="5" max="5" width="18.26953125" style="17" bestFit="1" customWidth="1"/>
    <col min="6" max="6" width="15.1796875" style="37" bestFit="1" customWidth="1"/>
    <col min="7" max="7" width="18.1796875" style="16" customWidth="1"/>
    <col min="8" max="16384" width="8.90625" style="16"/>
  </cols>
  <sheetData>
    <row r="1" spans="1:9" x14ac:dyDescent="0.35">
      <c r="A1" s="57" t="s">
        <v>122</v>
      </c>
      <c r="B1" s="58"/>
      <c r="C1" s="58"/>
      <c r="D1" s="58"/>
      <c r="E1" s="58"/>
    </row>
    <row r="2" spans="1:9" ht="15" thickBot="1" x14ac:dyDescent="0.4">
      <c r="A2" s="59" t="s">
        <v>1</v>
      </c>
      <c r="B2" s="2" t="s">
        <v>138</v>
      </c>
      <c r="C2" s="2" t="s">
        <v>138</v>
      </c>
      <c r="D2" s="2" t="s">
        <v>2</v>
      </c>
      <c r="E2" s="2" t="s">
        <v>140</v>
      </c>
    </row>
    <row r="3" spans="1:9" x14ac:dyDescent="0.35">
      <c r="A3" s="59"/>
      <c r="B3" s="3" t="s">
        <v>3</v>
      </c>
      <c r="C3" s="3" t="s">
        <v>4</v>
      </c>
      <c r="D3" s="3">
        <v>2024</v>
      </c>
      <c r="E3" s="4" t="s">
        <v>139</v>
      </c>
      <c r="F3" s="29" t="s">
        <v>148</v>
      </c>
      <c r="G3" s="30"/>
    </row>
    <row r="4" spans="1:9" x14ac:dyDescent="0.35">
      <c r="A4" s="2" t="s">
        <v>124</v>
      </c>
      <c r="B4" s="64">
        <f>B6+B11+B16+B21+B24</f>
        <v>1561450</v>
      </c>
      <c r="C4" s="64">
        <f t="shared" ref="C4" si="0">C6+C11+C16+C21+C24</f>
        <v>1187825.1199999999</v>
      </c>
      <c r="D4" s="64">
        <f>B4-C4</f>
        <v>373624.88000000012</v>
      </c>
      <c r="E4" s="64">
        <f>E6+E11+E16+E21+E24</f>
        <v>1958500</v>
      </c>
      <c r="F4" s="31" t="s">
        <v>149</v>
      </c>
      <c r="G4" s="32"/>
    </row>
    <row r="5" spans="1:9" x14ac:dyDescent="0.35">
      <c r="A5" s="3" t="s">
        <v>125</v>
      </c>
      <c r="B5" s="65"/>
      <c r="C5" s="65"/>
      <c r="D5" s="65"/>
      <c r="E5" s="65"/>
      <c r="F5" s="31" t="s">
        <v>150</v>
      </c>
      <c r="G5" s="32"/>
    </row>
    <row r="6" spans="1:9" ht="15" thickBot="1" x14ac:dyDescent="0.4">
      <c r="A6" s="5" t="s">
        <v>6</v>
      </c>
      <c r="B6" s="6">
        <f t="shared" ref="B6" si="1">SUM(B7:B10)</f>
        <v>961800</v>
      </c>
      <c r="C6" s="6">
        <f t="shared" ref="C6:E6" si="2">SUM(C7:C10)</f>
        <v>839206.34</v>
      </c>
      <c r="D6" s="6">
        <f t="shared" si="2"/>
        <v>122593.66000000003</v>
      </c>
      <c r="E6" s="27">
        <f t="shared" si="2"/>
        <v>1149000</v>
      </c>
      <c r="F6" s="33" t="s">
        <v>151</v>
      </c>
      <c r="G6" s="34"/>
      <c r="H6" s="24"/>
      <c r="I6" s="24"/>
    </row>
    <row r="7" spans="1:9" x14ac:dyDescent="0.35">
      <c r="A7" s="7" t="s">
        <v>7</v>
      </c>
      <c r="B7" s="8">
        <v>710000</v>
      </c>
      <c r="C7" s="8">
        <v>608756.22</v>
      </c>
      <c r="D7" s="8">
        <f>B7-C7</f>
        <v>101243.78000000003</v>
      </c>
      <c r="E7" s="8">
        <v>850000</v>
      </c>
      <c r="H7" s="24"/>
    </row>
    <row r="8" spans="1:9" x14ac:dyDescent="0.35">
      <c r="A8" s="9" t="s">
        <v>8</v>
      </c>
      <c r="B8" s="8">
        <v>182000</v>
      </c>
      <c r="C8" s="8">
        <v>170223.99</v>
      </c>
      <c r="D8" s="8">
        <f>B8-C8</f>
        <v>11776.010000000009</v>
      </c>
      <c r="E8" s="8">
        <v>220000</v>
      </c>
      <c r="H8" s="24"/>
    </row>
    <row r="9" spans="1:9" x14ac:dyDescent="0.35">
      <c r="A9" s="7" t="s">
        <v>9</v>
      </c>
      <c r="B9" s="8">
        <v>61000</v>
      </c>
      <c r="C9" s="8">
        <v>53559.5</v>
      </c>
      <c r="D9" s="8">
        <f>B9-C9</f>
        <v>7440.5</v>
      </c>
      <c r="E9" s="8">
        <v>70000</v>
      </c>
      <c r="H9" s="24"/>
    </row>
    <row r="10" spans="1:9" x14ac:dyDescent="0.35">
      <c r="A10" s="7" t="s">
        <v>10</v>
      </c>
      <c r="B10" s="8">
        <v>8800</v>
      </c>
      <c r="C10" s="8">
        <v>6666.63</v>
      </c>
      <c r="D10" s="8">
        <f>B10-C10</f>
        <v>2133.37</v>
      </c>
      <c r="E10" s="8">
        <v>9000</v>
      </c>
      <c r="F10" s="42"/>
      <c r="G10" s="26"/>
      <c r="H10" s="24"/>
    </row>
    <row r="11" spans="1:9" x14ac:dyDescent="0.35">
      <c r="A11" s="5" t="s">
        <v>11</v>
      </c>
      <c r="B11" s="6">
        <f t="shared" ref="B11" si="3">SUM(B12:B15)</f>
        <v>126440</v>
      </c>
      <c r="C11" s="6">
        <f t="shared" ref="C11:E11" si="4">SUM(C12:C15)</f>
        <v>100491.60999999999</v>
      </c>
      <c r="D11" s="6">
        <f t="shared" si="4"/>
        <v>33581.670000000013</v>
      </c>
      <c r="E11" s="6">
        <f t="shared" si="4"/>
        <v>130000</v>
      </c>
      <c r="F11" s="35"/>
      <c r="G11" s="26"/>
      <c r="H11" s="24"/>
    </row>
    <row r="12" spans="1:9" x14ac:dyDescent="0.35">
      <c r="A12" s="7" t="s">
        <v>12</v>
      </c>
      <c r="B12" s="8">
        <v>94000</v>
      </c>
      <c r="C12" s="8">
        <v>76198.399999999994</v>
      </c>
      <c r="D12" s="8">
        <f>B12-C12</f>
        <v>17801.600000000006</v>
      </c>
      <c r="E12" s="8">
        <v>95000</v>
      </c>
      <c r="F12" s="43"/>
      <c r="G12" s="26"/>
      <c r="H12" s="24"/>
    </row>
    <row r="13" spans="1:9" x14ac:dyDescent="0.35">
      <c r="A13" s="7" t="s">
        <v>8</v>
      </c>
      <c r="B13" s="8">
        <v>24000</v>
      </c>
      <c r="C13" s="8">
        <v>17955.87</v>
      </c>
      <c r="D13" s="8">
        <f>B13-C13</f>
        <v>6044.130000000001</v>
      </c>
      <c r="E13" s="8">
        <v>25000</v>
      </c>
      <c r="F13" s="43"/>
      <c r="G13" s="26"/>
      <c r="H13" s="24"/>
    </row>
    <row r="14" spans="1:9" x14ac:dyDescent="0.35">
      <c r="A14" s="7" t="s">
        <v>9</v>
      </c>
      <c r="B14" s="8">
        <v>7500</v>
      </c>
      <c r="C14" s="8">
        <v>5633.28</v>
      </c>
      <c r="D14" s="8">
        <v>9500</v>
      </c>
      <c r="E14" s="8">
        <v>8500</v>
      </c>
      <c r="F14" s="43"/>
      <c r="G14" s="26"/>
      <c r="H14" s="24"/>
    </row>
    <row r="15" spans="1:9" x14ac:dyDescent="0.35">
      <c r="A15" s="7" t="s">
        <v>10</v>
      </c>
      <c r="B15" s="8">
        <v>940</v>
      </c>
      <c r="C15" s="8">
        <v>704.06</v>
      </c>
      <c r="D15" s="8">
        <f>B15-C15</f>
        <v>235.94000000000005</v>
      </c>
      <c r="E15" s="8">
        <v>1500</v>
      </c>
      <c r="F15" s="43"/>
      <c r="G15" s="26"/>
      <c r="H15" s="24"/>
    </row>
    <row r="16" spans="1:9" x14ac:dyDescent="0.35">
      <c r="A16" s="5" t="s">
        <v>13</v>
      </c>
      <c r="B16" s="6">
        <f t="shared" ref="B16" si="5">SUM(B17:B20)</f>
        <v>83880</v>
      </c>
      <c r="C16" s="6">
        <f t="shared" ref="C16:E16" si="6">SUM(C17:C20)</f>
        <v>72693.469999999987</v>
      </c>
      <c r="D16" s="6">
        <f t="shared" si="6"/>
        <v>11186.529999999997</v>
      </c>
      <c r="E16" s="6">
        <f t="shared" si="6"/>
        <v>103500</v>
      </c>
      <c r="F16" s="35"/>
      <c r="G16" s="26"/>
      <c r="H16" s="24"/>
    </row>
    <row r="17" spans="1:8" x14ac:dyDescent="0.35">
      <c r="A17" s="7" t="s">
        <v>0</v>
      </c>
      <c r="B17" s="8">
        <v>61000</v>
      </c>
      <c r="C17" s="8">
        <v>54422.33</v>
      </c>
      <c r="D17" s="8">
        <f>B17-C17</f>
        <v>6577.6699999999983</v>
      </c>
      <c r="E17" s="8">
        <v>75000</v>
      </c>
      <c r="F17" s="43"/>
      <c r="G17" s="26"/>
      <c r="H17" s="24"/>
    </row>
    <row r="18" spans="1:8" x14ac:dyDescent="0.35">
      <c r="A18" s="7" t="s">
        <v>8</v>
      </c>
      <c r="B18" s="8">
        <v>16500</v>
      </c>
      <c r="C18" s="8">
        <v>13504.79</v>
      </c>
      <c r="D18" s="8">
        <f>B18-C18</f>
        <v>2995.2099999999991</v>
      </c>
      <c r="E18" s="8">
        <v>20000</v>
      </c>
      <c r="F18" s="43"/>
      <c r="G18" s="25"/>
      <c r="H18" s="24"/>
    </row>
    <row r="19" spans="1:8" x14ac:dyDescent="0.35">
      <c r="A19" s="7" t="s">
        <v>9</v>
      </c>
      <c r="B19" s="8">
        <v>5500</v>
      </c>
      <c r="C19" s="8">
        <v>4236.84</v>
      </c>
      <c r="D19" s="8">
        <f>B19-C19</f>
        <v>1263.1599999999999</v>
      </c>
      <c r="E19" s="8">
        <v>7000</v>
      </c>
      <c r="F19" s="43"/>
      <c r="G19" s="25"/>
      <c r="H19" s="24"/>
    </row>
    <row r="20" spans="1:8" x14ac:dyDescent="0.35">
      <c r="A20" s="7" t="s">
        <v>10</v>
      </c>
      <c r="B20" s="8">
        <v>880</v>
      </c>
      <c r="C20" s="8">
        <v>529.51</v>
      </c>
      <c r="D20" s="8">
        <f>B20-C20</f>
        <v>350.49</v>
      </c>
      <c r="E20" s="8">
        <v>1500</v>
      </c>
      <c r="F20" s="43"/>
      <c r="G20" s="25"/>
      <c r="H20" s="24"/>
    </row>
    <row r="21" spans="1:8" x14ac:dyDescent="0.35">
      <c r="A21" s="5" t="s">
        <v>14</v>
      </c>
      <c r="B21" s="6">
        <f>B22+B23</f>
        <v>19250</v>
      </c>
      <c r="C21" s="6">
        <f>C22+C23</f>
        <v>0</v>
      </c>
      <c r="D21" s="6">
        <f>D22+D23</f>
        <v>19250</v>
      </c>
      <c r="E21" s="6">
        <f>E22+E23</f>
        <v>102500</v>
      </c>
      <c r="F21" s="36"/>
      <c r="G21" s="24"/>
      <c r="H21" s="24"/>
    </row>
    <row r="22" spans="1:8" x14ac:dyDescent="0.35">
      <c r="A22" s="10" t="s">
        <v>115</v>
      </c>
      <c r="B22" s="8">
        <v>17600</v>
      </c>
      <c r="C22" s="8"/>
      <c r="D22" s="8">
        <f>B22-C22</f>
        <v>17600</v>
      </c>
      <c r="E22" s="8">
        <v>100000</v>
      </c>
      <c r="F22" s="44"/>
      <c r="G22" s="24"/>
      <c r="H22" s="24"/>
    </row>
    <row r="23" spans="1:8" x14ac:dyDescent="0.35">
      <c r="A23" s="10" t="s">
        <v>15</v>
      </c>
      <c r="B23" s="8">
        <v>1650</v>
      </c>
      <c r="C23" s="8"/>
      <c r="D23" s="8">
        <f>B23-C23</f>
        <v>1650</v>
      </c>
      <c r="E23" s="8">
        <v>2500</v>
      </c>
      <c r="F23" s="44"/>
      <c r="G23" s="24"/>
      <c r="H23" s="24"/>
    </row>
    <row r="24" spans="1:8" x14ac:dyDescent="0.35">
      <c r="A24" s="11" t="s">
        <v>16</v>
      </c>
      <c r="B24" s="6">
        <f>SUM(B25:B33)</f>
        <v>370080</v>
      </c>
      <c r="C24" s="6">
        <f>SUM(C25:C33)</f>
        <v>175433.69999999998</v>
      </c>
      <c r="D24" s="6">
        <f>SUM(D25:D33)</f>
        <v>194646.30000000002</v>
      </c>
      <c r="E24" s="6">
        <f>SUM(E25:E33)</f>
        <v>473500</v>
      </c>
      <c r="F24" s="36"/>
      <c r="G24" s="24"/>
      <c r="H24" s="24"/>
    </row>
    <row r="25" spans="1:8" x14ac:dyDescent="0.35">
      <c r="A25" s="7" t="s">
        <v>17</v>
      </c>
      <c r="B25" s="8">
        <v>12000</v>
      </c>
      <c r="C25" s="8">
        <v>8923.74</v>
      </c>
      <c r="D25" s="8">
        <f t="shared" ref="D25:D33" si="7">B25-C25</f>
        <v>3076.26</v>
      </c>
      <c r="E25" s="8">
        <v>16000</v>
      </c>
      <c r="F25" s="44"/>
      <c r="G25" s="24"/>
      <c r="H25" s="24"/>
    </row>
    <row r="26" spans="1:8" x14ac:dyDescent="0.35">
      <c r="A26" s="10" t="s">
        <v>18</v>
      </c>
      <c r="B26" s="8">
        <v>63500</v>
      </c>
      <c r="C26" s="8"/>
      <c r="D26" s="8">
        <f t="shared" si="7"/>
        <v>63500</v>
      </c>
      <c r="E26" s="8">
        <v>80000</v>
      </c>
      <c r="F26" s="44"/>
      <c r="G26" s="24"/>
      <c r="H26" s="24"/>
    </row>
    <row r="27" spans="1:8" x14ac:dyDescent="0.35">
      <c r="A27" s="10" t="s">
        <v>19</v>
      </c>
      <c r="B27" s="8">
        <v>76000</v>
      </c>
      <c r="C27" s="8"/>
      <c r="D27" s="8">
        <f t="shared" si="7"/>
        <v>76000</v>
      </c>
      <c r="E27" s="8">
        <v>92000</v>
      </c>
      <c r="F27" s="44"/>
      <c r="G27" s="24"/>
      <c r="H27" s="24"/>
    </row>
    <row r="28" spans="1:8" x14ac:dyDescent="0.35">
      <c r="A28" s="10" t="s">
        <v>20</v>
      </c>
      <c r="B28" s="8">
        <v>25500</v>
      </c>
      <c r="C28" s="8"/>
      <c r="D28" s="8">
        <f t="shared" si="7"/>
        <v>25500</v>
      </c>
      <c r="E28" s="8">
        <v>26000</v>
      </c>
      <c r="F28" s="44"/>
      <c r="G28" s="24"/>
      <c r="H28" s="24"/>
    </row>
    <row r="29" spans="1:8" x14ac:dyDescent="0.35">
      <c r="A29" s="10" t="s">
        <v>21</v>
      </c>
      <c r="B29" s="8">
        <v>155000</v>
      </c>
      <c r="C29" s="8">
        <v>144858.26999999999</v>
      </c>
      <c r="D29" s="8">
        <f t="shared" si="7"/>
        <v>10141.73000000001</v>
      </c>
      <c r="E29" s="8">
        <v>210000</v>
      </c>
      <c r="F29" s="44"/>
      <c r="G29" s="24"/>
      <c r="H29" s="24"/>
    </row>
    <row r="30" spans="1:8" x14ac:dyDescent="0.35">
      <c r="A30" s="10" t="s">
        <v>22</v>
      </c>
      <c r="B30" s="8">
        <v>2880</v>
      </c>
      <c r="C30" s="8">
        <v>3240</v>
      </c>
      <c r="D30" s="8">
        <f t="shared" si="7"/>
        <v>-360</v>
      </c>
      <c r="E30" s="8">
        <v>1500</v>
      </c>
      <c r="F30" s="44"/>
      <c r="G30" s="24"/>
      <c r="H30" s="24"/>
    </row>
    <row r="31" spans="1:8" x14ac:dyDescent="0.35">
      <c r="A31" s="10" t="s">
        <v>23</v>
      </c>
      <c r="B31" s="8">
        <v>7000</v>
      </c>
      <c r="C31" s="8">
        <v>7375.02</v>
      </c>
      <c r="D31" s="8">
        <f t="shared" si="7"/>
        <v>-375.02000000000044</v>
      </c>
      <c r="E31" s="8">
        <v>12000</v>
      </c>
      <c r="F31" s="44"/>
      <c r="G31" s="24"/>
      <c r="H31" s="24"/>
    </row>
    <row r="32" spans="1:8" x14ac:dyDescent="0.35">
      <c r="A32" s="10" t="s">
        <v>24</v>
      </c>
      <c r="B32" s="8">
        <v>14100</v>
      </c>
      <c r="C32" s="8">
        <v>11036.67</v>
      </c>
      <c r="D32" s="8">
        <f t="shared" si="7"/>
        <v>3063.33</v>
      </c>
      <c r="E32" s="8">
        <v>18000</v>
      </c>
      <c r="F32" s="44"/>
      <c r="G32" s="24"/>
      <c r="H32" s="24"/>
    </row>
    <row r="33" spans="1:8" x14ac:dyDescent="0.35">
      <c r="A33" s="10" t="s">
        <v>25</v>
      </c>
      <c r="B33" s="8">
        <v>14100</v>
      </c>
      <c r="C33" s="8"/>
      <c r="D33" s="8">
        <f t="shared" si="7"/>
        <v>14100</v>
      </c>
      <c r="E33" s="8">
        <v>18000</v>
      </c>
      <c r="F33" s="44"/>
      <c r="G33" s="24"/>
      <c r="H33" s="24"/>
    </row>
    <row r="34" spans="1:8" x14ac:dyDescent="0.35">
      <c r="A34" s="12" t="s">
        <v>26</v>
      </c>
      <c r="B34" s="6">
        <f t="shared" ref="B34" si="8">SUM(B35:B58)</f>
        <v>264040</v>
      </c>
      <c r="C34" s="6">
        <f t="shared" ref="C34:E34" si="9">SUM(C35:C58)</f>
        <v>173660.77</v>
      </c>
      <c r="D34" s="6">
        <f t="shared" si="9"/>
        <v>79558.23</v>
      </c>
      <c r="E34" s="6">
        <f t="shared" si="9"/>
        <v>274200</v>
      </c>
    </row>
    <row r="35" spans="1:8" x14ac:dyDescent="0.35">
      <c r="A35" s="10" t="s">
        <v>27</v>
      </c>
      <c r="B35" s="8">
        <v>4500</v>
      </c>
      <c r="C35" s="8">
        <v>1077.83</v>
      </c>
      <c r="D35" s="8">
        <f t="shared" ref="D35:D50" si="10">B35-C35</f>
        <v>3422.17</v>
      </c>
      <c r="E35" s="8">
        <v>5000</v>
      </c>
      <c r="F35" s="42"/>
    </row>
    <row r="36" spans="1:8" x14ac:dyDescent="0.35">
      <c r="A36" s="10" t="s">
        <v>28</v>
      </c>
      <c r="B36" s="8">
        <v>6000</v>
      </c>
      <c r="C36" s="8">
        <v>4735.66</v>
      </c>
      <c r="D36" s="8">
        <f t="shared" si="10"/>
        <v>1264.3400000000001</v>
      </c>
      <c r="E36" s="8">
        <v>6500</v>
      </c>
      <c r="F36" s="42"/>
    </row>
    <row r="37" spans="1:8" x14ac:dyDescent="0.35">
      <c r="A37" s="10" t="s">
        <v>29</v>
      </c>
      <c r="B37" s="8">
        <v>1800</v>
      </c>
      <c r="C37" s="8">
        <v>362</v>
      </c>
      <c r="D37" s="8">
        <f t="shared" si="10"/>
        <v>1438</v>
      </c>
      <c r="E37" s="8">
        <v>2500</v>
      </c>
      <c r="F37" s="42"/>
    </row>
    <row r="38" spans="1:8" x14ac:dyDescent="0.35">
      <c r="A38" s="10" t="s">
        <v>30</v>
      </c>
      <c r="B38" s="8">
        <v>5900</v>
      </c>
      <c r="C38" s="8">
        <v>6158.29</v>
      </c>
      <c r="D38" s="8">
        <f t="shared" si="10"/>
        <v>-258.28999999999996</v>
      </c>
      <c r="E38" s="8">
        <v>7000</v>
      </c>
      <c r="F38" s="42"/>
    </row>
    <row r="39" spans="1:8" x14ac:dyDescent="0.35">
      <c r="A39" s="10" t="s">
        <v>31</v>
      </c>
      <c r="B39" s="8">
        <v>29500</v>
      </c>
      <c r="C39" s="8">
        <v>30419.17</v>
      </c>
      <c r="D39" s="8">
        <f t="shared" si="10"/>
        <v>-919.16999999999825</v>
      </c>
      <c r="E39" s="8">
        <v>33000</v>
      </c>
      <c r="F39" s="42"/>
    </row>
    <row r="40" spans="1:8" x14ac:dyDescent="0.35">
      <c r="A40" s="10" t="s">
        <v>32</v>
      </c>
      <c r="B40" s="8">
        <v>11000</v>
      </c>
      <c r="C40" s="8"/>
      <c r="D40" s="8">
        <f t="shared" si="10"/>
        <v>11000</v>
      </c>
      <c r="E40" s="8">
        <v>12000</v>
      </c>
      <c r="F40" s="42"/>
    </row>
    <row r="41" spans="1:8" x14ac:dyDescent="0.35">
      <c r="A41" s="10" t="s">
        <v>33</v>
      </c>
      <c r="B41" s="8">
        <v>1180</v>
      </c>
      <c r="C41" s="8"/>
      <c r="D41" s="8">
        <f t="shared" si="10"/>
        <v>1180</v>
      </c>
      <c r="E41" s="8">
        <v>1500</v>
      </c>
      <c r="F41" s="42"/>
    </row>
    <row r="42" spans="1:8" x14ac:dyDescent="0.35">
      <c r="A42" s="10" t="s">
        <v>34</v>
      </c>
      <c r="B42" s="8">
        <v>1760</v>
      </c>
      <c r="C42" s="8"/>
      <c r="D42" s="8">
        <f t="shared" si="10"/>
        <v>1760</v>
      </c>
      <c r="E42" s="8">
        <v>1800</v>
      </c>
      <c r="F42" s="42"/>
    </row>
    <row r="43" spans="1:8" x14ac:dyDescent="0.35">
      <c r="A43" s="10" t="s">
        <v>35</v>
      </c>
      <c r="B43" s="8">
        <v>9400</v>
      </c>
      <c r="C43" s="8"/>
      <c r="D43" s="8">
        <f t="shared" si="10"/>
        <v>9400</v>
      </c>
      <c r="E43" s="8">
        <v>20000</v>
      </c>
      <c r="F43" s="42"/>
    </row>
    <row r="44" spans="1:8" x14ac:dyDescent="0.35">
      <c r="A44" s="7" t="s">
        <v>36</v>
      </c>
      <c r="B44" s="8">
        <v>2950</v>
      </c>
      <c r="C44" s="8">
        <v>289.89999999999998</v>
      </c>
      <c r="D44" s="8">
        <f t="shared" si="10"/>
        <v>2660.1</v>
      </c>
      <c r="E44" s="8">
        <v>3500</v>
      </c>
      <c r="F44" s="42"/>
    </row>
    <row r="45" spans="1:8" x14ac:dyDescent="0.35">
      <c r="A45" s="10" t="s">
        <v>37</v>
      </c>
      <c r="B45" s="8">
        <v>4120</v>
      </c>
      <c r="C45" s="8">
        <v>2845.33</v>
      </c>
      <c r="D45" s="8">
        <f t="shared" si="10"/>
        <v>1274.67</v>
      </c>
      <c r="E45" s="8">
        <v>5000</v>
      </c>
      <c r="F45" s="42"/>
    </row>
    <row r="46" spans="1:8" x14ac:dyDescent="0.35">
      <c r="A46" s="10" t="s">
        <v>38</v>
      </c>
      <c r="B46" s="8">
        <v>29300</v>
      </c>
      <c r="C46" s="8">
        <v>18837.259999999998</v>
      </c>
      <c r="D46" s="8">
        <f t="shared" si="10"/>
        <v>10462.740000000002</v>
      </c>
      <c r="E46" s="8">
        <v>32000</v>
      </c>
      <c r="F46" s="42"/>
    </row>
    <row r="47" spans="1:8" x14ac:dyDescent="0.35">
      <c r="A47" s="10" t="s">
        <v>39</v>
      </c>
      <c r="B47" s="8">
        <v>2950</v>
      </c>
      <c r="C47" s="8">
        <v>1500</v>
      </c>
      <c r="D47" s="8">
        <f t="shared" si="10"/>
        <v>1450</v>
      </c>
      <c r="E47" s="8">
        <v>3500</v>
      </c>
      <c r="F47" s="42"/>
    </row>
    <row r="48" spans="1:8" x14ac:dyDescent="0.35">
      <c r="A48" s="10" t="s">
        <v>40</v>
      </c>
      <c r="B48" s="8">
        <v>6600</v>
      </c>
      <c r="C48" s="8">
        <v>8201.26</v>
      </c>
      <c r="D48" s="8">
        <f t="shared" si="10"/>
        <v>-1601.2600000000002</v>
      </c>
      <c r="E48" s="8">
        <v>7500</v>
      </c>
      <c r="F48" s="42"/>
    </row>
    <row r="49" spans="1:6" x14ac:dyDescent="0.35">
      <c r="A49" s="10" t="s">
        <v>41</v>
      </c>
      <c r="B49" s="8">
        <v>53000</v>
      </c>
      <c r="C49" s="8">
        <v>49157.07</v>
      </c>
      <c r="D49" s="8">
        <f t="shared" si="10"/>
        <v>3842.9300000000003</v>
      </c>
      <c r="E49" s="8">
        <v>53000</v>
      </c>
      <c r="F49" s="42"/>
    </row>
    <row r="50" spans="1:6" x14ac:dyDescent="0.35">
      <c r="A50" s="10" t="s">
        <v>142</v>
      </c>
      <c r="B50" s="8">
        <v>29300</v>
      </c>
      <c r="C50" s="8">
        <v>24958.05</v>
      </c>
      <c r="D50" s="8">
        <f t="shared" si="10"/>
        <v>4341.9500000000007</v>
      </c>
      <c r="E50" s="8">
        <v>25000</v>
      </c>
      <c r="F50" s="42"/>
    </row>
    <row r="51" spans="1:6" x14ac:dyDescent="0.35">
      <c r="A51" s="10" t="s">
        <v>42</v>
      </c>
      <c r="B51" s="8">
        <v>30000</v>
      </c>
      <c r="C51" s="8"/>
      <c r="D51" s="8">
        <v>19179</v>
      </c>
      <c r="E51" s="8">
        <v>25000</v>
      </c>
      <c r="F51" s="42"/>
    </row>
    <row r="52" spans="1:6" x14ac:dyDescent="0.35">
      <c r="A52" s="10" t="s">
        <v>43</v>
      </c>
      <c r="B52" s="8">
        <v>2350</v>
      </c>
      <c r="C52" s="8">
        <v>55.65</v>
      </c>
      <c r="D52" s="8">
        <f t="shared" ref="D52:D58" si="11">B52-C52</f>
        <v>2294.35</v>
      </c>
      <c r="E52" s="8">
        <v>3500</v>
      </c>
      <c r="F52" s="42"/>
    </row>
    <row r="53" spans="1:6" x14ac:dyDescent="0.35">
      <c r="A53" s="10" t="s">
        <v>44</v>
      </c>
      <c r="B53" s="8">
        <v>1100</v>
      </c>
      <c r="C53" s="8"/>
      <c r="D53" s="8">
        <f t="shared" si="11"/>
        <v>1100</v>
      </c>
      <c r="E53" s="8">
        <v>1500</v>
      </c>
      <c r="F53" s="42"/>
    </row>
    <row r="54" spans="1:6" x14ac:dyDescent="0.35">
      <c r="A54" s="10" t="s">
        <v>45</v>
      </c>
      <c r="B54" s="8">
        <v>550</v>
      </c>
      <c r="C54" s="8"/>
      <c r="D54" s="8">
        <f t="shared" si="11"/>
        <v>550</v>
      </c>
      <c r="E54" s="8">
        <v>600</v>
      </c>
      <c r="F54" s="42"/>
    </row>
    <row r="55" spans="1:6" x14ac:dyDescent="0.35">
      <c r="A55" s="10" t="s">
        <v>46</v>
      </c>
      <c r="B55" s="8">
        <v>5500</v>
      </c>
      <c r="C55" s="8"/>
      <c r="D55" s="8">
        <f t="shared" si="11"/>
        <v>5500</v>
      </c>
      <c r="E55" s="8">
        <v>6500</v>
      </c>
      <c r="F55" s="42"/>
    </row>
    <row r="56" spans="1:6" x14ac:dyDescent="0.35">
      <c r="A56" s="10" t="s">
        <v>47</v>
      </c>
      <c r="B56" s="8">
        <v>17600</v>
      </c>
      <c r="C56" s="8">
        <v>23752.080000000002</v>
      </c>
      <c r="D56" s="8">
        <f t="shared" si="11"/>
        <v>-6152.0800000000017</v>
      </c>
      <c r="E56" s="8">
        <v>5000</v>
      </c>
      <c r="F56" s="42"/>
    </row>
    <row r="57" spans="1:6" x14ac:dyDescent="0.35">
      <c r="A57" s="10" t="s">
        <v>123</v>
      </c>
      <c r="B57" s="8">
        <v>1180</v>
      </c>
      <c r="C57" s="8">
        <v>1311.22</v>
      </c>
      <c r="D57" s="8">
        <f t="shared" si="11"/>
        <v>-131.22000000000003</v>
      </c>
      <c r="E57" s="8">
        <v>1300</v>
      </c>
      <c r="F57" s="42"/>
    </row>
    <row r="58" spans="1:6" x14ac:dyDescent="0.35">
      <c r="A58" s="10" t="s">
        <v>121</v>
      </c>
      <c r="B58" s="8">
        <v>6500</v>
      </c>
      <c r="C58" s="8"/>
      <c r="D58" s="8">
        <f t="shared" si="11"/>
        <v>6500</v>
      </c>
      <c r="E58" s="8">
        <v>12000</v>
      </c>
      <c r="F58" s="42"/>
    </row>
    <row r="59" spans="1:6" x14ac:dyDescent="0.35">
      <c r="A59" s="12" t="s">
        <v>48</v>
      </c>
      <c r="B59" s="6">
        <f>SUM(B60:B72)</f>
        <v>285400</v>
      </c>
      <c r="C59" s="6">
        <f>SUM(C60:C72)</f>
        <v>195771.79</v>
      </c>
      <c r="D59" s="6">
        <f>SUM(D60:D72)</f>
        <v>89628.209999999992</v>
      </c>
      <c r="E59" s="6">
        <f>SUM(E60:E72)</f>
        <v>290300</v>
      </c>
    </row>
    <row r="60" spans="1:6" x14ac:dyDescent="0.35">
      <c r="A60" s="10" t="s">
        <v>49</v>
      </c>
      <c r="B60" s="8">
        <v>45000</v>
      </c>
      <c r="C60" s="8">
        <v>40740</v>
      </c>
      <c r="D60" s="8">
        <f t="shared" ref="D60:D72" si="12">B60-C60</f>
        <v>4260</v>
      </c>
      <c r="E60" s="8">
        <v>45000</v>
      </c>
      <c r="F60" s="42"/>
    </row>
    <row r="61" spans="1:6" x14ac:dyDescent="0.35">
      <c r="A61" s="10" t="s">
        <v>50</v>
      </c>
      <c r="B61" s="8">
        <v>35000</v>
      </c>
      <c r="C61" s="8">
        <v>32543.279999999999</v>
      </c>
      <c r="D61" s="8">
        <f t="shared" si="12"/>
        <v>2456.7200000000012</v>
      </c>
      <c r="E61" s="8">
        <v>35000</v>
      </c>
      <c r="F61" s="42"/>
    </row>
    <row r="62" spans="1:6" x14ac:dyDescent="0.35">
      <c r="A62" s="10" t="s">
        <v>51</v>
      </c>
      <c r="B62" s="8">
        <v>16000</v>
      </c>
      <c r="C62" s="8">
        <v>9600</v>
      </c>
      <c r="D62" s="8">
        <f t="shared" si="12"/>
        <v>6400</v>
      </c>
      <c r="E62" s="8">
        <v>15000</v>
      </c>
      <c r="F62" s="42"/>
    </row>
    <row r="63" spans="1:6" x14ac:dyDescent="0.35">
      <c r="A63" s="10" t="s">
        <v>52</v>
      </c>
      <c r="B63" s="8">
        <v>18000</v>
      </c>
      <c r="C63" s="8">
        <v>6252.68</v>
      </c>
      <c r="D63" s="8">
        <f t="shared" si="12"/>
        <v>11747.32</v>
      </c>
      <c r="E63" s="8">
        <v>18000</v>
      </c>
      <c r="F63" s="42"/>
    </row>
    <row r="64" spans="1:6" x14ac:dyDescent="0.35">
      <c r="A64" s="10" t="s">
        <v>53</v>
      </c>
      <c r="B64" s="8">
        <v>3400</v>
      </c>
      <c r="C64" s="8">
        <v>1996.92</v>
      </c>
      <c r="D64" s="8">
        <f t="shared" si="12"/>
        <v>1403.08</v>
      </c>
      <c r="E64" s="8">
        <v>3400</v>
      </c>
      <c r="F64" s="42"/>
    </row>
    <row r="65" spans="1:6" x14ac:dyDescent="0.35">
      <c r="A65" s="10" t="s">
        <v>54</v>
      </c>
      <c r="B65" s="8">
        <v>41000</v>
      </c>
      <c r="C65" s="8">
        <v>36372</v>
      </c>
      <c r="D65" s="8">
        <f t="shared" si="12"/>
        <v>4628</v>
      </c>
      <c r="E65" s="8">
        <v>43000</v>
      </c>
      <c r="F65" s="42"/>
    </row>
    <row r="66" spans="1:6" x14ac:dyDescent="0.35">
      <c r="A66" s="10" t="s">
        <v>55</v>
      </c>
      <c r="B66" s="8">
        <v>34000</v>
      </c>
      <c r="C66" s="8">
        <v>22692.5</v>
      </c>
      <c r="D66" s="8">
        <f t="shared" si="12"/>
        <v>11307.5</v>
      </c>
      <c r="E66" s="8">
        <v>34000</v>
      </c>
      <c r="F66" s="42"/>
    </row>
    <row r="67" spans="1:6" x14ac:dyDescent="0.35">
      <c r="A67" s="10" t="s">
        <v>56</v>
      </c>
      <c r="B67" s="8">
        <v>37000</v>
      </c>
      <c r="C67" s="8">
        <v>7416</v>
      </c>
      <c r="D67" s="8">
        <f t="shared" si="12"/>
        <v>29584</v>
      </c>
      <c r="E67" s="8">
        <v>39000</v>
      </c>
      <c r="F67" s="42"/>
    </row>
    <row r="68" spans="1:6" x14ac:dyDescent="0.35">
      <c r="A68" s="10" t="s">
        <v>118</v>
      </c>
      <c r="B68" s="8">
        <v>6400</v>
      </c>
      <c r="C68" s="8"/>
      <c r="D68" s="8">
        <f t="shared" si="12"/>
        <v>6400</v>
      </c>
      <c r="E68" s="8">
        <v>6400</v>
      </c>
      <c r="F68" s="42"/>
    </row>
    <row r="69" spans="1:6" x14ac:dyDescent="0.35">
      <c r="A69" s="7" t="s">
        <v>57</v>
      </c>
      <c r="B69" s="8">
        <v>16200</v>
      </c>
      <c r="C69" s="8">
        <v>26509.41</v>
      </c>
      <c r="D69" s="8">
        <f t="shared" si="12"/>
        <v>-10309.41</v>
      </c>
      <c r="E69" s="8">
        <v>16000</v>
      </c>
      <c r="F69" s="42"/>
    </row>
    <row r="70" spans="1:6" x14ac:dyDescent="0.35">
      <c r="A70" s="10" t="s">
        <v>58</v>
      </c>
      <c r="B70" s="8">
        <v>20300</v>
      </c>
      <c r="C70" s="8">
        <v>11649</v>
      </c>
      <c r="D70" s="8">
        <f t="shared" si="12"/>
        <v>8651</v>
      </c>
      <c r="E70" s="8">
        <v>22000</v>
      </c>
      <c r="F70" s="42"/>
    </row>
    <row r="71" spans="1:6" x14ac:dyDescent="0.35">
      <c r="A71" s="10" t="s">
        <v>117</v>
      </c>
      <c r="B71" s="8">
        <v>4800</v>
      </c>
      <c r="C71" s="8"/>
      <c r="D71" s="8">
        <f t="shared" si="12"/>
        <v>4800</v>
      </c>
      <c r="E71" s="8">
        <v>5000</v>
      </c>
      <c r="F71" s="42"/>
    </row>
    <row r="72" spans="1:6" x14ac:dyDescent="0.35">
      <c r="A72" s="10" t="s">
        <v>116</v>
      </c>
      <c r="B72" s="8">
        <v>8300</v>
      </c>
      <c r="C72" s="8"/>
      <c r="D72" s="8">
        <f t="shared" si="12"/>
        <v>8300</v>
      </c>
      <c r="E72" s="8">
        <v>8500</v>
      </c>
      <c r="F72" s="42"/>
    </row>
    <row r="73" spans="1:6" x14ac:dyDescent="0.35">
      <c r="A73" s="12" t="s">
        <v>59</v>
      </c>
      <c r="B73" s="6">
        <f>SUM(B74:B85)</f>
        <v>1079700</v>
      </c>
      <c r="C73" s="6">
        <f>SUM(C74:C85)</f>
        <v>1026244.29</v>
      </c>
      <c r="D73" s="6">
        <f>SUM(D74:D85)</f>
        <v>53455.709999999955</v>
      </c>
      <c r="E73" s="6">
        <f>SUM(E74:E85)</f>
        <v>1191000</v>
      </c>
    </row>
    <row r="74" spans="1:6" x14ac:dyDescent="0.35">
      <c r="A74" s="10" t="s">
        <v>60</v>
      </c>
      <c r="B74" s="8">
        <v>800000</v>
      </c>
      <c r="C74" s="8">
        <v>894994.67</v>
      </c>
      <c r="D74" s="8">
        <f t="shared" ref="D74:D86" si="13">B74-C74</f>
        <v>-94994.670000000042</v>
      </c>
      <c r="E74" s="8">
        <v>825000</v>
      </c>
      <c r="F74" s="42"/>
    </row>
    <row r="75" spans="1:6" x14ac:dyDescent="0.35">
      <c r="A75" s="10" t="s">
        <v>61</v>
      </c>
      <c r="B75" s="8">
        <v>23500</v>
      </c>
      <c r="C75" s="8"/>
      <c r="D75" s="8">
        <f t="shared" si="13"/>
        <v>23500</v>
      </c>
      <c r="E75" s="8">
        <v>35000</v>
      </c>
      <c r="F75" s="42"/>
    </row>
    <row r="76" spans="1:6" x14ac:dyDescent="0.35">
      <c r="A76" s="10" t="s">
        <v>62</v>
      </c>
      <c r="B76" s="8">
        <v>90000</v>
      </c>
      <c r="C76" s="8">
        <v>109459.99</v>
      </c>
      <c r="D76" s="8">
        <f t="shared" si="13"/>
        <v>-19459.990000000005</v>
      </c>
      <c r="E76" s="8">
        <v>150000</v>
      </c>
      <c r="F76" s="42"/>
    </row>
    <row r="77" spans="1:6" x14ac:dyDescent="0.35">
      <c r="A77" s="7" t="s">
        <v>63</v>
      </c>
      <c r="B77" s="8">
        <v>25000</v>
      </c>
      <c r="C77" s="8">
        <v>769</v>
      </c>
      <c r="D77" s="8">
        <f t="shared" si="13"/>
        <v>24231</v>
      </c>
      <c r="E77" s="8">
        <v>25000</v>
      </c>
      <c r="F77" s="42"/>
    </row>
    <row r="78" spans="1:6" x14ac:dyDescent="0.35">
      <c r="A78" s="7" t="s">
        <v>64</v>
      </c>
      <c r="B78" s="8">
        <v>35400</v>
      </c>
      <c r="C78" s="8">
        <v>355</v>
      </c>
      <c r="D78" s="8">
        <f t="shared" si="13"/>
        <v>35045</v>
      </c>
      <c r="E78" s="8">
        <v>35000</v>
      </c>
      <c r="F78" s="42"/>
    </row>
    <row r="79" spans="1:6" x14ac:dyDescent="0.35">
      <c r="A79" s="7" t="s">
        <v>65</v>
      </c>
      <c r="B79" s="8">
        <v>27500</v>
      </c>
      <c r="C79" s="8"/>
      <c r="D79" s="8">
        <f t="shared" si="13"/>
        <v>27500</v>
      </c>
      <c r="E79" s="8">
        <v>30000</v>
      </c>
      <c r="F79" s="42"/>
    </row>
    <row r="80" spans="1:6" x14ac:dyDescent="0.35">
      <c r="A80" s="7" t="s">
        <v>66</v>
      </c>
      <c r="B80" s="8">
        <v>25000</v>
      </c>
      <c r="C80" s="8"/>
      <c r="D80" s="8">
        <f t="shared" si="13"/>
        <v>25000</v>
      </c>
      <c r="E80" s="8">
        <v>25000</v>
      </c>
      <c r="F80" s="42"/>
    </row>
    <row r="81" spans="1:6" x14ac:dyDescent="0.35">
      <c r="A81" s="7" t="s">
        <v>67</v>
      </c>
      <c r="B81" s="8">
        <v>5900</v>
      </c>
      <c r="C81" s="8"/>
      <c r="D81" s="8">
        <f t="shared" si="13"/>
        <v>5900</v>
      </c>
      <c r="E81" s="8">
        <v>6500</v>
      </c>
      <c r="F81" s="42"/>
    </row>
    <row r="82" spans="1:6" x14ac:dyDescent="0.35">
      <c r="A82" s="7" t="s">
        <v>68</v>
      </c>
      <c r="B82" s="8">
        <v>5900</v>
      </c>
      <c r="C82" s="8"/>
      <c r="D82" s="8">
        <f t="shared" si="13"/>
        <v>5900</v>
      </c>
      <c r="E82" s="8">
        <v>6500</v>
      </c>
      <c r="F82" s="42"/>
    </row>
    <row r="83" spans="1:6" x14ac:dyDescent="0.35">
      <c r="A83" s="7" t="s">
        <v>69</v>
      </c>
      <c r="B83" s="8">
        <v>11750</v>
      </c>
      <c r="C83" s="8">
        <v>11756.84</v>
      </c>
      <c r="D83" s="8">
        <f t="shared" si="13"/>
        <v>-6.8400000000001455</v>
      </c>
      <c r="E83" s="8">
        <v>13000</v>
      </c>
      <c r="F83" s="42"/>
    </row>
    <row r="84" spans="1:6" x14ac:dyDescent="0.35">
      <c r="A84" s="7" t="s">
        <v>131</v>
      </c>
      <c r="B84" s="8">
        <v>11750</v>
      </c>
      <c r="C84" s="8"/>
      <c r="D84" s="8">
        <f t="shared" si="13"/>
        <v>11750</v>
      </c>
      <c r="E84" s="8">
        <v>15000</v>
      </c>
      <c r="F84" s="42"/>
    </row>
    <row r="85" spans="1:6" x14ac:dyDescent="0.35">
      <c r="A85" s="7" t="s">
        <v>70</v>
      </c>
      <c r="B85" s="8">
        <v>18000</v>
      </c>
      <c r="C85" s="8">
        <v>8908.7900000000009</v>
      </c>
      <c r="D85" s="8">
        <f t="shared" si="13"/>
        <v>9091.2099999999991</v>
      </c>
      <c r="E85" s="8">
        <v>25000</v>
      </c>
      <c r="F85" s="42"/>
    </row>
    <row r="86" spans="1:6" x14ac:dyDescent="0.35">
      <c r="A86" s="7" t="s">
        <v>71</v>
      </c>
      <c r="B86" s="8">
        <v>11000</v>
      </c>
      <c r="C86" s="8"/>
      <c r="D86" s="8">
        <f t="shared" si="13"/>
        <v>11000</v>
      </c>
      <c r="E86" s="8">
        <v>13000</v>
      </c>
      <c r="F86" s="42"/>
    </row>
    <row r="87" spans="1:6" x14ac:dyDescent="0.35">
      <c r="A87" s="12" t="s">
        <v>72</v>
      </c>
      <c r="B87" s="6">
        <f>SUM(B88:B95)</f>
        <v>6191000</v>
      </c>
      <c r="C87" s="6">
        <f>SUM(C88:C95)</f>
        <v>5222296.8020000001</v>
      </c>
      <c r="D87" s="6">
        <f>SUM(D88:D95)</f>
        <v>968703.19800000009</v>
      </c>
      <c r="E87" s="6">
        <f>SUM(E88:E95)</f>
        <v>5601200</v>
      </c>
    </row>
    <row r="88" spans="1:6" x14ac:dyDescent="0.35">
      <c r="A88" s="10" t="s">
        <v>73</v>
      </c>
      <c r="B88" s="8">
        <v>4520000</v>
      </c>
      <c r="C88" s="8">
        <v>3786038.42</v>
      </c>
      <c r="D88" s="8">
        <f t="shared" ref="D88:D95" si="14">B88-C88</f>
        <v>733961.58000000007</v>
      </c>
      <c r="E88" s="8">
        <v>4000000</v>
      </c>
      <c r="F88" s="42"/>
    </row>
    <row r="89" spans="1:6" x14ac:dyDescent="0.35">
      <c r="A89" s="10" t="s">
        <v>74</v>
      </c>
      <c r="B89" s="8">
        <v>1010000</v>
      </c>
      <c r="C89" s="8">
        <v>861447.24</v>
      </c>
      <c r="D89" s="8">
        <f t="shared" si="14"/>
        <v>148552.76</v>
      </c>
      <c r="E89" s="8">
        <v>950000</v>
      </c>
      <c r="F89" s="42"/>
    </row>
    <row r="90" spans="1:6" x14ac:dyDescent="0.35">
      <c r="A90" s="10" t="s">
        <v>75</v>
      </c>
      <c r="B90" s="8">
        <v>11800</v>
      </c>
      <c r="C90" s="8"/>
      <c r="D90" s="8">
        <f t="shared" si="14"/>
        <v>11800</v>
      </c>
      <c r="E90" s="8">
        <v>7000</v>
      </c>
      <c r="F90" s="42"/>
    </row>
    <row r="91" spans="1:6" x14ac:dyDescent="0.35">
      <c r="A91" s="10" t="s">
        <v>76</v>
      </c>
      <c r="B91" s="8">
        <v>425000</v>
      </c>
      <c r="C91" s="8">
        <v>400604.80200000003</v>
      </c>
      <c r="D91" s="8">
        <f t="shared" si="14"/>
        <v>24395.197999999975</v>
      </c>
      <c r="E91" s="8">
        <v>456000</v>
      </c>
      <c r="F91" s="42"/>
    </row>
    <row r="92" spans="1:6" x14ac:dyDescent="0.35">
      <c r="A92" s="10" t="s">
        <v>77</v>
      </c>
      <c r="B92" s="8">
        <v>96000</v>
      </c>
      <c r="C92" s="8">
        <v>75249.570000000007</v>
      </c>
      <c r="D92" s="8">
        <f t="shared" si="14"/>
        <v>20750.429999999993</v>
      </c>
      <c r="E92" s="8">
        <v>60000</v>
      </c>
      <c r="F92" s="42"/>
    </row>
    <row r="93" spans="1:6" x14ac:dyDescent="0.35">
      <c r="A93" s="10" t="s">
        <v>78</v>
      </c>
      <c r="B93" s="8">
        <v>10000</v>
      </c>
      <c r="C93" s="8"/>
      <c r="D93" s="8">
        <f t="shared" si="14"/>
        <v>10000</v>
      </c>
      <c r="E93" s="8">
        <v>10000</v>
      </c>
      <c r="F93" s="42"/>
    </row>
    <row r="94" spans="1:6" x14ac:dyDescent="0.35">
      <c r="A94" s="10" t="s">
        <v>79</v>
      </c>
      <c r="B94" s="8">
        <v>110000</v>
      </c>
      <c r="C94" s="8">
        <v>91959.81</v>
      </c>
      <c r="D94" s="8">
        <f t="shared" si="14"/>
        <v>18040.190000000002</v>
      </c>
      <c r="E94" s="8">
        <v>110000</v>
      </c>
      <c r="F94" s="42"/>
    </row>
    <row r="95" spans="1:6" x14ac:dyDescent="0.35">
      <c r="A95" s="10" t="s">
        <v>80</v>
      </c>
      <c r="B95" s="8">
        <v>8200</v>
      </c>
      <c r="C95" s="8">
        <v>6996.96</v>
      </c>
      <c r="D95" s="8">
        <f t="shared" si="14"/>
        <v>1203.04</v>
      </c>
      <c r="E95" s="8">
        <v>8200</v>
      </c>
      <c r="F95" s="42"/>
    </row>
    <row r="96" spans="1:6" x14ac:dyDescent="0.35">
      <c r="A96" s="12" t="s">
        <v>81</v>
      </c>
      <c r="B96" s="6">
        <f t="shared" ref="B96" si="15">SUM(B97:B99)</f>
        <v>21600</v>
      </c>
      <c r="C96" s="6">
        <f t="shared" ref="C96:E96" si="16">SUM(C97:C99)</f>
        <v>8145.96</v>
      </c>
      <c r="D96" s="6">
        <f t="shared" si="16"/>
        <v>13454.04</v>
      </c>
      <c r="E96" s="6">
        <f t="shared" si="16"/>
        <v>21600</v>
      </c>
    </row>
    <row r="97" spans="1:8" x14ac:dyDescent="0.35">
      <c r="A97" s="10" t="s">
        <v>82</v>
      </c>
      <c r="B97" s="8">
        <v>11800</v>
      </c>
      <c r="C97" s="8">
        <v>6056.74</v>
      </c>
      <c r="D97" s="8">
        <f>B97-C97</f>
        <v>5743.26</v>
      </c>
      <c r="E97" s="8">
        <v>11800</v>
      </c>
      <c r="F97" s="42"/>
    </row>
    <row r="98" spans="1:8" x14ac:dyDescent="0.35">
      <c r="A98" s="10" t="s">
        <v>83</v>
      </c>
      <c r="B98" s="8">
        <v>5800</v>
      </c>
      <c r="C98" s="8">
        <v>1067.42</v>
      </c>
      <c r="D98" s="8">
        <f>B98-C98</f>
        <v>4732.58</v>
      </c>
      <c r="E98" s="8">
        <v>5800</v>
      </c>
      <c r="F98" s="42"/>
    </row>
    <row r="99" spans="1:8" x14ac:dyDescent="0.35">
      <c r="A99" s="10" t="s">
        <v>84</v>
      </c>
      <c r="B99" s="8">
        <v>4000</v>
      </c>
      <c r="C99" s="8">
        <v>1021.8</v>
      </c>
      <c r="D99" s="8">
        <f>B99-C99</f>
        <v>2978.2</v>
      </c>
      <c r="E99" s="8">
        <v>4000</v>
      </c>
      <c r="F99" s="42"/>
    </row>
    <row r="100" spans="1:8" x14ac:dyDescent="0.35">
      <c r="A100" s="12" t="s">
        <v>85</v>
      </c>
      <c r="B100" s="6">
        <f>SUM(B101:B111)</f>
        <v>464700</v>
      </c>
      <c r="C100" s="6">
        <f>SUM(C101:C111)</f>
        <v>170334.6</v>
      </c>
      <c r="D100" s="6">
        <f>SUM(D101:D111)</f>
        <v>294365.40000000002</v>
      </c>
      <c r="E100" s="6">
        <f>SUM(E101:E111)</f>
        <v>484000</v>
      </c>
      <c r="F100" s="45"/>
    </row>
    <row r="101" spans="1:8" x14ac:dyDescent="0.35">
      <c r="A101" s="10" t="s">
        <v>86</v>
      </c>
      <c r="B101" s="8">
        <v>27000</v>
      </c>
      <c r="C101" s="8"/>
      <c r="D101" s="8">
        <f t="shared" ref="D101:D112" si="17">B101-C101</f>
        <v>27000</v>
      </c>
      <c r="E101" s="8">
        <v>20000</v>
      </c>
      <c r="F101" s="45"/>
    </row>
    <row r="102" spans="1:8" x14ac:dyDescent="0.35">
      <c r="A102" s="7" t="s">
        <v>87</v>
      </c>
      <c r="B102" s="8">
        <v>8700</v>
      </c>
      <c r="C102" s="8"/>
      <c r="D102" s="8">
        <f t="shared" si="17"/>
        <v>8700</v>
      </c>
      <c r="E102" s="8">
        <v>5000</v>
      </c>
      <c r="F102" s="45"/>
    </row>
    <row r="103" spans="1:8" x14ac:dyDescent="0.35">
      <c r="A103" s="10" t="s">
        <v>88</v>
      </c>
      <c r="B103" s="8">
        <v>45000</v>
      </c>
      <c r="C103" s="8"/>
      <c r="D103" s="8">
        <f t="shared" si="17"/>
        <v>45000</v>
      </c>
      <c r="E103" s="8">
        <v>40000</v>
      </c>
      <c r="F103" s="45"/>
    </row>
    <row r="104" spans="1:8" x14ac:dyDescent="0.35">
      <c r="A104" s="10" t="s">
        <v>89</v>
      </c>
      <c r="B104" s="8">
        <v>45000</v>
      </c>
      <c r="C104" s="8"/>
      <c r="D104" s="8">
        <f t="shared" si="17"/>
        <v>45000</v>
      </c>
      <c r="E104" s="8">
        <v>40000</v>
      </c>
      <c r="F104" s="45"/>
    </row>
    <row r="105" spans="1:8" x14ac:dyDescent="0.35">
      <c r="A105" s="10" t="s">
        <v>90</v>
      </c>
      <c r="B105" s="8">
        <v>26500</v>
      </c>
      <c r="C105" s="8"/>
      <c r="D105" s="8">
        <f t="shared" si="17"/>
        <v>26500</v>
      </c>
      <c r="E105" s="8">
        <v>18000</v>
      </c>
      <c r="F105" s="45"/>
    </row>
    <row r="106" spans="1:8" x14ac:dyDescent="0.35">
      <c r="A106" s="10" t="s">
        <v>91</v>
      </c>
      <c r="B106" s="8">
        <v>7500</v>
      </c>
      <c r="C106" s="8"/>
      <c r="D106" s="8">
        <f t="shared" si="17"/>
        <v>7500</v>
      </c>
      <c r="E106" s="8">
        <v>4500</v>
      </c>
      <c r="F106" s="45"/>
    </row>
    <row r="107" spans="1:8" x14ac:dyDescent="0.35">
      <c r="A107" s="10" t="s">
        <v>92</v>
      </c>
      <c r="B107" s="8">
        <v>22000</v>
      </c>
      <c r="C107" s="8"/>
      <c r="D107" s="8">
        <f t="shared" si="17"/>
        <v>22000</v>
      </c>
      <c r="E107" s="8">
        <v>15000</v>
      </c>
      <c r="F107" s="45"/>
    </row>
    <row r="108" spans="1:8" x14ac:dyDescent="0.35">
      <c r="A108" s="7" t="s">
        <v>93</v>
      </c>
      <c r="B108" s="8">
        <v>37500</v>
      </c>
      <c r="C108" s="8">
        <v>33355.1</v>
      </c>
      <c r="D108" s="8">
        <f t="shared" si="17"/>
        <v>4144.9000000000015</v>
      </c>
      <c r="E108" s="8">
        <v>25000</v>
      </c>
      <c r="F108" s="45"/>
    </row>
    <row r="109" spans="1:8" x14ac:dyDescent="0.35">
      <c r="A109" s="10" t="s">
        <v>94</v>
      </c>
      <c r="B109" s="8">
        <v>16500</v>
      </c>
      <c r="C109" s="8">
        <v>742</v>
      </c>
      <c r="D109" s="8">
        <f t="shared" si="17"/>
        <v>15758</v>
      </c>
      <c r="E109" s="8">
        <v>8500</v>
      </c>
      <c r="F109" s="45"/>
    </row>
    <row r="110" spans="1:8" x14ac:dyDescent="0.35">
      <c r="A110" s="10" t="s">
        <v>95</v>
      </c>
      <c r="B110" s="8">
        <v>217000</v>
      </c>
      <c r="C110" s="8">
        <v>136237.5</v>
      </c>
      <c r="D110" s="8">
        <f t="shared" si="17"/>
        <v>80762.5</v>
      </c>
      <c r="E110" s="8">
        <v>300000</v>
      </c>
      <c r="F110" s="55" t="s">
        <v>158</v>
      </c>
      <c r="G110" s="56"/>
      <c r="H110" s="56"/>
    </row>
    <row r="111" spans="1:8" x14ac:dyDescent="0.35">
      <c r="A111" s="10" t="s">
        <v>119</v>
      </c>
      <c r="B111" s="8">
        <v>12000</v>
      </c>
      <c r="C111" s="8"/>
      <c r="D111" s="8">
        <f t="shared" si="17"/>
        <v>12000</v>
      </c>
      <c r="E111" s="8">
        <v>8000</v>
      </c>
      <c r="F111" s="45"/>
    </row>
    <row r="112" spans="1:8" x14ac:dyDescent="0.35">
      <c r="A112" s="10" t="s">
        <v>120</v>
      </c>
      <c r="B112" s="8">
        <v>8800</v>
      </c>
      <c r="C112" s="8"/>
      <c r="D112" s="8">
        <f t="shared" si="17"/>
        <v>8800</v>
      </c>
      <c r="E112" s="8">
        <v>10000</v>
      </c>
      <c r="F112" s="45"/>
    </row>
    <row r="113" spans="1:5" x14ac:dyDescent="0.35">
      <c r="A113" s="12" t="s">
        <v>96</v>
      </c>
      <c r="B113" s="6">
        <f t="shared" ref="B113" si="18">SUM(B114:B121)</f>
        <v>1118000</v>
      </c>
      <c r="C113" s="6">
        <f t="shared" ref="C113:E113" si="19">SUM(C114:C121)</f>
        <v>3791029.48</v>
      </c>
      <c r="D113" s="6">
        <f t="shared" si="19"/>
        <v>-2673029.48</v>
      </c>
      <c r="E113" s="6">
        <f t="shared" si="19"/>
        <v>1803500</v>
      </c>
    </row>
    <row r="114" spans="1:5" x14ac:dyDescent="0.35">
      <c r="A114" s="54" t="s">
        <v>126</v>
      </c>
      <c r="B114" s="22">
        <v>78000</v>
      </c>
      <c r="C114" s="22">
        <v>48000</v>
      </c>
      <c r="D114" s="22">
        <f>B114-C114</f>
        <v>30000</v>
      </c>
      <c r="E114" s="22">
        <v>0</v>
      </c>
    </row>
    <row r="115" spans="1:5" x14ac:dyDescent="0.35">
      <c r="A115" s="54" t="s">
        <v>144</v>
      </c>
      <c r="B115" s="22">
        <v>0</v>
      </c>
      <c r="C115" s="22">
        <v>0</v>
      </c>
      <c r="D115" s="22">
        <f>B115-C115</f>
        <v>0</v>
      </c>
      <c r="E115" s="22">
        <v>420000</v>
      </c>
    </row>
    <row r="116" spans="1:5" x14ac:dyDescent="0.35">
      <c r="A116" s="54" t="s">
        <v>145</v>
      </c>
      <c r="B116" s="22">
        <v>0</v>
      </c>
      <c r="C116" s="22">
        <v>0</v>
      </c>
      <c r="D116" s="22">
        <f>B116-C116</f>
        <v>0</v>
      </c>
      <c r="E116" s="22">
        <v>1000000</v>
      </c>
    </row>
    <row r="117" spans="1:5" ht="14.5" customHeight="1" x14ac:dyDescent="0.35">
      <c r="A117" s="54" t="s">
        <v>127</v>
      </c>
      <c r="B117" s="22">
        <v>65000</v>
      </c>
      <c r="C117" s="22">
        <v>0</v>
      </c>
      <c r="D117" s="22">
        <f t="shared" ref="D117:D121" si="20">B117-C117</f>
        <v>65000</v>
      </c>
      <c r="E117" s="22">
        <v>8500</v>
      </c>
    </row>
    <row r="118" spans="1:5" ht="14.5" customHeight="1" x14ac:dyDescent="0.35">
      <c r="A118" s="54" t="s">
        <v>129</v>
      </c>
      <c r="B118" s="22">
        <v>800000</v>
      </c>
      <c r="C118" s="22">
        <v>500000</v>
      </c>
      <c r="D118" s="22">
        <f t="shared" si="20"/>
        <v>300000</v>
      </c>
      <c r="E118" s="22">
        <v>300000</v>
      </c>
    </row>
    <row r="119" spans="1:5" ht="14.5" customHeight="1" x14ac:dyDescent="0.35">
      <c r="A119" s="54" t="s">
        <v>128</v>
      </c>
      <c r="B119" s="22">
        <v>100000</v>
      </c>
      <c r="C119" s="22">
        <v>88000</v>
      </c>
      <c r="D119" s="22">
        <f>B119-C119</f>
        <v>12000</v>
      </c>
      <c r="E119" s="22">
        <v>0</v>
      </c>
    </row>
    <row r="120" spans="1:5" ht="14.5" customHeight="1" x14ac:dyDescent="0.35">
      <c r="A120" s="54" t="s">
        <v>137</v>
      </c>
      <c r="B120" s="22">
        <v>75000</v>
      </c>
      <c r="C120" s="22">
        <v>0</v>
      </c>
      <c r="D120" s="22">
        <f t="shared" si="20"/>
        <v>75000</v>
      </c>
      <c r="E120" s="22">
        <v>75000</v>
      </c>
    </row>
    <row r="121" spans="1:5" ht="14.5" customHeight="1" x14ac:dyDescent="0.35">
      <c r="A121" s="54" t="s">
        <v>136</v>
      </c>
      <c r="B121" s="22">
        <v>0</v>
      </c>
      <c r="C121" s="22">
        <v>3155029.48</v>
      </c>
      <c r="D121" s="22">
        <f t="shared" si="20"/>
        <v>-3155029.48</v>
      </c>
      <c r="E121" s="22"/>
    </row>
    <row r="122" spans="1:5" x14ac:dyDescent="0.35">
      <c r="A122" s="12" t="s">
        <v>97</v>
      </c>
      <c r="B122" s="6">
        <f t="shared" ref="B122" si="21">SUM(B123:B126)</f>
        <v>476500</v>
      </c>
      <c r="C122" s="6">
        <f t="shared" ref="C122:E122" si="22">SUM(C123:C126)</f>
        <v>499750.88999999996</v>
      </c>
      <c r="D122" s="6">
        <f t="shared" si="22"/>
        <v>-23250.889999999978</v>
      </c>
      <c r="E122" s="6">
        <f t="shared" si="22"/>
        <v>560500</v>
      </c>
    </row>
    <row r="123" spans="1:5" x14ac:dyDescent="0.35">
      <c r="A123" s="10" t="s">
        <v>98</v>
      </c>
      <c r="B123" s="8">
        <v>6500</v>
      </c>
      <c r="C123" s="8">
        <v>2920.51</v>
      </c>
      <c r="D123" s="8">
        <f>B123-C123</f>
        <v>3579.49</v>
      </c>
      <c r="E123" s="8">
        <v>7500</v>
      </c>
    </row>
    <row r="124" spans="1:5" x14ac:dyDescent="0.35">
      <c r="A124" s="10" t="s">
        <v>99</v>
      </c>
      <c r="B124" s="8">
        <v>25000</v>
      </c>
      <c r="C124" s="8">
        <v>15946.28</v>
      </c>
      <c r="D124" s="8">
        <f>B124-C124</f>
        <v>9053.7199999999993</v>
      </c>
      <c r="E124" s="8">
        <v>28000</v>
      </c>
    </row>
    <row r="125" spans="1:5" x14ac:dyDescent="0.35">
      <c r="A125" s="10" t="s">
        <v>100</v>
      </c>
      <c r="B125" s="8">
        <v>25000</v>
      </c>
      <c r="C125" s="8"/>
      <c r="D125" s="8">
        <f>B125-C125</f>
        <v>25000</v>
      </c>
      <c r="E125" s="8">
        <v>25000</v>
      </c>
    </row>
    <row r="126" spans="1:5" x14ac:dyDescent="0.35">
      <c r="A126" s="10" t="s">
        <v>101</v>
      </c>
      <c r="B126" s="8">
        <v>420000</v>
      </c>
      <c r="C126" s="8">
        <v>480884.1</v>
      </c>
      <c r="D126" s="8">
        <f>B126-C126</f>
        <v>-60884.099999999977</v>
      </c>
      <c r="E126" s="8">
        <v>500000</v>
      </c>
    </row>
    <row r="127" spans="1:5" x14ac:dyDescent="0.35">
      <c r="A127" s="10" t="s">
        <v>102</v>
      </c>
      <c r="B127" s="8">
        <v>16500</v>
      </c>
      <c r="C127" s="8"/>
      <c r="D127" s="8">
        <f>B127-C127</f>
        <v>16500</v>
      </c>
      <c r="E127" s="8">
        <v>16500</v>
      </c>
    </row>
    <row r="128" spans="1:5" x14ac:dyDescent="0.35">
      <c r="A128" s="12" t="s">
        <v>103</v>
      </c>
      <c r="B128" s="6">
        <f t="shared" ref="B128" si="23">SUM(B129:B131)</f>
        <v>23520</v>
      </c>
      <c r="C128" s="6">
        <f t="shared" ref="C128:E128" si="24">SUM(C129:C131)</f>
        <v>29110.44</v>
      </c>
      <c r="D128" s="6">
        <f t="shared" si="24"/>
        <v>-5590.44</v>
      </c>
      <c r="E128" s="6">
        <f t="shared" si="24"/>
        <v>19000</v>
      </c>
    </row>
    <row r="129" spans="1:6" x14ac:dyDescent="0.35">
      <c r="A129" s="7" t="s">
        <v>104</v>
      </c>
      <c r="B129" s="8">
        <v>1770</v>
      </c>
      <c r="C129" s="8">
        <v>79.88</v>
      </c>
      <c r="D129" s="8">
        <f>B129-C129</f>
        <v>1690.12</v>
      </c>
      <c r="E129" s="8">
        <v>2000</v>
      </c>
    </row>
    <row r="130" spans="1:6" x14ac:dyDescent="0.35">
      <c r="A130" s="10" t="s">
        <v>105</v>
      </c>
      <c r="B130" s="8">
        <v>20000</v>
      </c>
      <c r="C130" s="8">
        <v>14655.35</v>
      </c>
      <c r="D130" s="8">
        <f>B130-C130</f>
        <v>5344.65</v>
      </c>
      <c r="E130" s="8">
        <v>15000</v>
      </c>
    </row>
    <row r="131" spans="1:6" x14ac:dyDescent="0.35">
      <c r="A131" s="10" t="s">
        <v>106</v>
      </c>
      <c r="B131" s="8">
        <v>1750</v>
      </c>
      <c r="C131" s="8">
        <v>14375.21</v>
      </c>
      <c r="D131" s="8">
        <f>B131-C131</f>
        <v>-12625.21</v>
      </c>
      <c r="E131" s="8">
        <v>2000</v>
      </c>
    </row>
    <row r="132" spans="1:6" x14ac:dyDescent="0.35">
      <c r="A132" s="12" t="s">
        <v>107</v>
      </c>
      <c r="B132" s="6">
        <f>B128+B122+B113+B100+B96+B87+B73+B59+B34+B24+B21+B16+B11+B6</f>
        <v>11485910</v>
      </c>
      <c r="C132" s="6">
        <f>C128+C122+C113+C100+C96+C87+C73+C59+C34+C24+C21+C16+C11+C6</f>
        <v>12304170.141999995</v>
      </c>
      <c r="D132" s="6">
        <f>D128+D122+D113+D100+D96+D87+D73+D59+D34+D24+D21+D16+D11+D6</f>
        <v>-821447.86199999996</v>
      </c>
      <c r="E132" s="6">
        <f>E128+E122+E113+E100+E96+E87+E73+E59+E34+E24+E21+E16+E11+E6</f>
        <v>12203800</v>
      </c>
    </row>
    <row r="133" spans="1:6" x14ac:dyDescent="0.35">
      <c r="A133" s="60"/>
      <c r="B133" s="61"/>
      <c r="C133" s="61"/>
      <c r="D133" s="61"/>
      <c r="E133" s="62"/>
    </row>
    <row r="134" spans="1:6" x14ac:dyDescent="0.35">
      <c r="A134" s="63" t="s">
        <v>108</v>
      </c>
      <c r="B134" s="2" t="s">
        <v>138</v>
      </c>
      <c r="C134" s="2" t="s">
        <v>138</v>
      </c>
      <c r="D134" s="2" t="s">
        <v>2</v>
      </c>
      <c r="E134" s="2" t="s">
        <v>140</v>
      </c>
    </row>
    <row r="135" spans="1:6" x14ac:dyDescent="0.35">
      <c r="A135" s="63"/>
      <c r="B135" s="3" t="s">
        <v>3</v>
      </c>
      <c r="C135" s="3" t="s">
        <v>4</v>
      </c>
      <c r="D135" s="3">
        <v>2024</v>
      </c>
      <c r="E135" s="4" t="s">
        <v>141</v>
      </c>
      <c r="F135" s="38">
        <v>0.1</v>
      </c>
    </row>
    <row r="136" spans="1:6" x14ac:dyDescent="0.35">
      <c r="A136" s="13" t="s">
        <v>147</v>
      </c>
      <c r="B136" s="14">
        <f>B137+B138-B139</f>
        <v>10700387.120000001</v>
      </c>
      <c r="C136" s="14">
        <f>C137+C138-C139</f>
        <v>9930036.0800000001</v>
      </c>
      <c r="D136" s="14">
        <f>C136-B136</f>
        <v>-770351.04000000097</v>
      </c>
      <c r="E136" s="14">
        <f t="shared" ref="E136" si="25">E137+E138-E139</f>
        <v>11918425.832</v>
      </c>
      <c r="F136" s="39">
        <f>B136*10%</f>
        <v>1070038.7120000001</v>
      </c>
    </row>
    <row r="137" spans="1:6" x14ac:dyDescent="0.35">
      <c r="A137" s="10" t="s">
        <v>146</v>
      </c>
      <c r="B137" s="8">
        <v>11079954.960000001</v>
      </c>
      <c r="C137" s="8">
        <v>10584461.51</v>
      </c>
      <c r="D137" s="8">
        <f>C137-B137</f>
        <v>-495493.45000000112</v>
      </c>
      <c r="E137" s="8">
        <f t="shared" ref="E137:E145" si="26">B137+F137</f>
        <v>12187950.456</v>
      </c>
      <c r="F137" s="39">
        <f t="shared" ref="F137:F145" si="27">B137*10%</f>
        <v>1107995.496</v>
      </c>
    </row>
    <row r="138" spans="1:6" x14ac:dyDescent="0.35">
      <c r="A138" s="10" t="s">
        <v>109</v>
      </c>
      <c r="B138" s="8">
        <v>320000</v>
      </c>
      <c r="C138" s="8">
        <v>43097.81</v>
      </c>
      <c r="D138" s="8">
        <f t="shared" ref="D138:D139" si="28">C138-B138</f>
        <v>-276902.19</v>
      </c>
      <c r="E138" s="8">
        <v>500000</v>
      </c>
      <c r="F138" s="39">
        <f t="shared" si="27"/>
        <v>32000</v>
      </c>
    </row>
    <row r="139" spans="1:6" x14ac:dyDescent="0.35">
      <c r="A139" s="10" t="s">
        <v>110</v>
      </c>
      <c r="B139" s="8">
        <v>699567.84</v>
      </c>
      <c r="C139" s="8">
        <v>697523.24</v>
      </c>
      <c r="D139" s="8">
        <f t="shared" si="28"/>
        <v>-2044.5999999999767</v>
      </c>
      <c r="E139" s="8">
        <f t="shared" si="26"/>
        <v>769524.62399999995</v>
      </c>
      <c r="F139" s="39">
        <f t="shared" si="27"/>
        <v>69956.784</v>
      </c>
    </row>
    <row r="140" spans="1:6" x14ac:dyDescent="0.35">
      <c r="A140" s="11" t="s">
        <v>111</v>
      </c>
      <c r="B140" s="6">
        <f>SUM(B141:B145)</f>
        <v>327000</v>
      </c>
      <c r="C140" s="6">
        <f t="shared" ref="C140:E140" si="29">SUM(C141:C145)</f>
        <v>591779.94999999995</v>
      </c>
      <c r="D140" s="6">
        <f t="shared" si="29"/>
        <v>264779.95</v>
      </c>
      <c r="E140" s="6">
        <f t="shared" si="29"/>
        <v>301700</v>
      </c>
      <c r="F140" s="39"/>
    </row>
    <row r="141" spans="1:6" x14ac:dyDescent="0.35">
      <c r="A141" s="21" t="s">
        <v>132</v>
      </c>
      <c r="B141" s="22">
        <v>25000</v>
      </c>
      <c r="C141" s="22">
        <v>29029.77</v>
      </c>
      <c r="D141" s="22">
        <f>C141-B141</f>
        <v>4029.7700000000004</v>
      </c>
      <c r="E141" s="8">
        <f t="shared" si="26"/>
        <v>27500</v>
      </c>
      <c r="F141" s="39">
        <f t="shared" si="27"/>
        <v>2500</v>
      </c>
    </row>
    <row r="142" spans="1:6" x14ac:dyDescent="0.35">
      <c r="A142" s="21" t="s">
        <v>133</v>
      </c>
      <c r="B142" s="22">
        <v>30000</v>
      </c>
      <c r="C142" s="22">
        <v>162167.78</v>
      </c>
      <c r="D142" s="22">
        <f t="shared" ref="D142:D145" si="30">C142-B142</f>
        <v>132167.78</v>
      </c>
      <c r="E142" s="8">
        <v>150000</v>
      </c>
      <c r="F142" s="39">
        <f t="shared" si="27"/>
        <v>3000</v>
      </c>
    </row>
    <row r="143" spans="1:6" x14ac:dyDescent="0.35">
      <c r="A143" s="21" t="s">
        <v>112</v>
      </c>
      <c r="B143" s="22">
        <v>12000</v>
      </c>
      <c r="C143" s="22">
        <v>8870.9699999999993</v>
      </c>
      <c r="D143" s="22">
        <f t="shared" si="30"/>
        <v>-3129.0300000000007</v>
      </c>
      <c r="E143" s="8">
        <f t="shared" si="26"/>
        <v>13200</v>
      </c>
      <c r="F143" s="39">
        <f t="shared" si="27"/>
        <v>1200</v>
      </c>
    </row>
    <row r="144" spans="1:6" x14ac:dyDescent="0.35">
      <c r="A144" s="15" t="s">
        <v>134</v>
      </c>
      <c r="B144" s="8">
        <v>250000</v>
      </c>
      <c r="C144" s="8">
        <v>298356.45</v>
      </c>
      <c r="D144" s="22">
        <f t="shared" si="30"/>
        <v>48356.450000000012</v>
      </c>
      <c r="E144" s="8">
        <v>100000</v>
      </c>
      <c r="F144" s="39">
        <f t="shared" si="27"/>
        <v>25000</v>
      </c>
    </row>
    <row r="145" spans="1:6" x14ac:dyDescent="0.35">
      <c r="A145" s="15" t="s">
        <v>135</v>
      </c>
      <c r="B145" s="8">
        <v>10000</v>
      </c>
      <c r="C145" s="8">
        <v>93354.98</v>
      </c>
      <c r="D145" s="22">
        <f t="shared" si="30"/>
        <v>83354.98</v>
      </c>
      <c r="E145" s="8">
        <f t="shared" si="26"/>
        <v>11000</v>
      </c>
      <c r="F145" s="39">
        <f t="shared" si="27"/>
        <v>1000</v>
      </c>
    </row>
    <row r="146" spans="1:6" x14ac:dyDescent="0.35">
      <c r="A146" s="11" t="s">
        <v>113</v>
      </c>
      <c r="B146" s="6">
        <f>B140+B136</f>
        <v>11027387.120000001</v>
      </c>
      <c r="C146" s="6">
        <f t="shared" ref="C146:E146" si="31">C140+C136</f>
        <v>10521816.029999999</v>
      </c>
      <c r="D146" s="6">
        <f>C146-B146</f>
        <v>-505571.09000000171</v>
      </c>
      <c r="E146" s="6">
        <f t="shared" si="31"/>
        <v>12220125.832</v>
      </c>
      <c r="F146" s="40"/>
    </row>
    <row r="147" spans="1:6" x14ac:dyDescent="0.35">
      <c r="F147" s="41"/>
    </row>
    <row r="148" spans="1:6" x14ac:dyDescent="0.35">
      <c r="C148" s="18"/>
      <c r="D148" s="18"/>
    </row>
    <row r="149" spans="1:6" x14ac:dyDescent="0.35">
      <c r="C149" s="18"/>
      <c r="D149" s="18"/>
    </row>
    <row r="153" spans="1:6" x14ac:dyDescent="0.35">
      <c r="E153" s="16"/>
    </row>
    <row r="154" spans="1:6" x14ac:dyDescent="0.35">
      <c r="E154" s="16"/>
    </row>
    <row r="155" spans="1:6" x14ac:dyDescent="0.35">
      <c r="E155" s="16"/>
    </row>
    <row r="156" spans="1:6" x14ac:dyDescent="0.35">
      <c r="E156" s="16"/>
    </row>
    <row r="157" spans="1:6" x14ac:dyDescent="0.35">
      <c r="E157" s="16"/>
    </row>
    <row r="158" spans="1:6" x14ac:dyDescent="0.35">
      <c r="E158" s="16"/>
    </row>
    <row r="159" spans="1:6" x14ac:dyDescent="0.35">
      <c r="E159" s="16"/>
    </row>
    <row r="160" spans="1:6" x14ac:dyDescent="0.35">
      <c r="E160" s="16"/>
    </row>
    <row r="161" spans="5:5" x14ac:dyDescent="0.35">
      <c r="E161" s="16"/>
    </row>
    <row r="162" spans="5:5" x14ac:dyDescent="0.35">
      <c r="E162" s="16"/>
    </row>
    <row r="163" spans="5:5" x14ac:dyDescent="0.35">
      <c r="E163" s="16"/>
    </row>
    <row r="164" spans="5:5" x14ac:dyDescent="0.35">
      <c r="E164" s="16"/>
    </row>
    <row r="165" spans="5:5" x14ac:dyDescent="0.35">
      <c r="E165" s="16"/>
    </row>
    <row r="166" spans="5:5" x14ac:dyDescent="0.35">
      <c r="E166" s="16"/>
    </row>
    <row r="167" spans="5:5" x14ac:dyDescent="0.35">
      <c r="E167" s="16"/>
    </row>
    <row r="168" spans="5:5" x14ac:dyDescent="0.35">
      <c r="E168" s="16"/>
    </row>
  </sheetData>
  <mergeCells count="9">
    <mergeCell ref="F110:H110"/>
    <mergeCell ref="A1:E1"/>
    <mergeCell ref="A2:A3"/>
    <mergeCell ref="A133:E133"/>
    <mergeCell ref="A134:A135"/>
    <mergeCell ref="E4:E5"/>
    <mergeCell ref="D4:D5"/>
    <mergeCell ref="C4:C5"/>
    <mergeCell ref="B4:B5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4636-E113-42B7-835C-174102B65A6C}">
  <dimension ref="A1:M22"/>
  <sheetViews>
    <sheetView tabSelected="1" topLeftCell="A4" zoomScale="99" zoomScaleNormal="99" workbookViewId="0">
      <selection activeCell="E20" sqref="E20"/>
    </sheetView>
  </sheetViews>
  <sheetFormatPr defaultRowHeight="13.5" customHeight="1" x14ac:dyDescent="0.35"/>
  <cols>
    <col min="1" max="1" width="52.54296875" style="16" bestFit="1" customWidth="1"/>
    <col min="2" max="5" width="16.6328125" style="17" bestFit="1" customWidth="1"/>
    <col min="6" max="6" width="18.08984375" style="46" bestFit="1" customWidth="1"/>
    <col min="7" max="7" width="5.1796875" style="46" bestFit="1" customWidth="1"/>
    <col min="8" max="8" width="15.81640625" style="47" customWidth="1"/>
    <col min="9" max="13" width="8.7265625" style="46"/>
    <col min="14" max="16384" width="8.7265625" style="1"/>
  </cols>
  <sheetData>
    <row r="1" spans="1:11" ht="13.5" customHeight="1" x14ac:dyDescent="0.3">
      <c r="A1" s="66" t="s">
        <v>143</v>
      </c>
      <c r="B1" s="67"/>
      <c r="C1" s="67"/>
      <c r="D1" s="67"/>
      <c r="E1" s="67"/>
      <c r="F1" s="73" t="s">
        <v>152</v>
      </c>
      <c r="G1" s="73"/>
      <c r="H1" s="73"/>
      <c r="I1" s="73"/>
      <c r="J1" s="73"/>
      <c r="K1" s="73"/>
    </row>
    <row r="2" spans="1:11" ht="13.5" customHeight="1" x14ac:dyDescent="0.3">
      <c r="A2" s="59" t="s">
        <v>1</v>
      </c>
      <c r="B2" s="2" t="s">
        <v>138</v>
      </c>
      <c r="C2" s="2" t="s">
        <v>138</v>
      </c>
      <c r="D2" s="2" t="s">
        <v>2</v>
      </c>
      <c r="E2" s="2" t="s">
        <v>140</v>
      </c>
      <c r="F2" s="73"/>
      <c r="G2" s="73"/>
      <c r="H2" s="73"/>
      <c r="I2" s="73"/>
      <c r="J2" s="73"/>
      <c r="K2" s="73"/>
    </row>
    <row r="3" spans="1:11" ht="13.5" customHeight="1" x14ac:dyDescent="0.3">
      <c r="A3" s="59"/>
      <c r="B3" s="3" t="s">
        <v>3</v>
      </c>
      <c r="C3" s="3" t="s">
        <v>4</v>
      </c>
      <c r="D3" s="3">
        <v>2025</v>
      </c>
      <c r="E3" s="4" t="s">
        <v>139</v>
      </c>
      <c r="F3" s="73"/>
      <c r="G3" s="73"/>
      <c r="H3" s="73"/>
      <c r="I3" s="73"/>
      <c r="J3" s="73"/>
      <c r="K3" s="73"/>
    </row>
    <row r="4" spans="1:11" ht="13.5" customHeight="1" x14ac:dyDescent="0.3">
      <c r="A4" s="19" t="s">
        <v>5</v>
      </c>
      <c r="B4" s="8">
        <f>'Peça Orçamentária - Analítica'!B4:B5</f>
        <v>1561450</v>
      </c>
      <c r="C4" s="8">
        <f>'Peça Orçamentária - Analítica'!C4:C5</f>
        <v>1187825.1199999999</v>
      </c>
      <c r="D4" s="8">
        <f>'Peça Orçamentária - Analítica'!D4:D5</f>
        <v>373624.88000000012</v>
      </c>
      <c r="E4" s="28">
        <f>'Peça Orçamentária - Analítica'!E4:E5</f>
        <v>1958500</v>
      </c>
      <c r="F4" s="73"/>
      <c r="G4" s="73"/>
      <c r="H4" s="73"/>
      <c r="I4" s="73"/>
      <c r="J4" s="73"/>
      <c r="K4" s="73"/>
    </row>
    <row r="5" spans="1:11" ht="13.5" customHeight="1" x14ac:dyDescent="0.4">
      <c r="A5" s="20" t="s">
        <v>26</v>
      </c>
      <c r="B5" s="8">
        <f>'Peça Orçamentária - Analítica'!B34</f>
        <v>264040</v>
      </c>
      <c r="C5" s="8">
        <f>'Peça Orçamentária - Analítica'!C34</f>
        <v>173660.77</v>
      </c>
      <c r="D5" s="8">
        <f>'Peça Orçamentária - Analítica'!D34</f>
        <v>79558.23</v>
      </c>
      <c r="E5" s="28">
        <f>'Peça Orçamentária - Analítica'!E34</f>
        <v>274200</v>
      </c>
      <c r="F5" s="48" t="s">
        <v>153</v>
      </c>
      <c r="G5" s="49">
        <v>0.04</v>
      </c>
      <c r="H5" s="68">
        <f>2008500*4%</f>
        <v>80340</v>
      </c>
      <c r="I5" s="69"/>
      <c r="J5" s="69"/>
      <c r="K5" s="70"/>
    </row>
    <row r="6" spans="1:11" ht="13.5" customHeight="1" x14ac:dyDescent="0.4">
      <c r="A6" s="20" t="s">
        <v>48</v>
      </c>
      <c r="B6" s="8">
        <f>'Peça Orçamentária - Analítica'!B59</f>
        <v>285400</v>
      </c>
      <c r="C6" s="8">
        <f>'Peça Orçamentária - Analítica'!C59</f>
        <v>195771.79</v>
      </c>
      <c r="D6" s="8">
        <f>'Peça Orçamentária - Analítica'!D59</f>
        <v>89628.209999999992</v>
      </c>
      <c r="E6" s="28">
        <f>'Peça Orçamentária - Analítica'!E59</f>
        <v>290300</v>
      </c>
      <c r="F6" s="48" t="s">
        <v>154</v>
      </c>
      <c r="G6" s="49">
        <v>0.04</v>
      </c>
      <c r="H6" s="68">
        <f>5821200*4%</f>
        <v>232848</v>
      </c>
      <c r="I6" s="69"/>
      <c r="J6" s="69"/>
      <c r="K6" s="70"/>
    </row>
    <row r="7" spans="1:11" ht="13.5" customHeight="1" x14ac:dyDescent="0.4">
      <c r="A7" s="20" t="s">
        <v>59</v>
      </c>
      <c r="B7" s="8">
        <f>'Peça Orçamentária - Analítica'!B73</f>
        <v>1079700</v>
      </c>
      <c r="C7" s="8">
        <f>'Peça Orçamentária - Analítica'!C73</f>
        <v>1026244.29</v>
      </c>
      <c r="D7" s="8">
        <f>'Peça Orçamentária - Analítica'!D73</f>
        <v>53455.709999999955</v>
      </c>
      <c r="E7" s="28">
        <f>'Peça Orçamentária - Analítica'!E73</f>
        <v>1191000</v>
      </c>
      <c r="F7" s="48" t="s">
        <v>156</v>
      </c>
      <c r="G7" s="49">
        <v>0.1</v>
      </c>
      <c r="H7" s="68">
        <f>1206000*10%</f>
        <v>120600</v>
      </c>
      <c r="I7" s="69"/>
      <c r="J7" s="69"/>
      <c r="K7" s="70"/>
    </row>
    <row r="8" spans="1:11" ht="13.5" customHeight="1" x14ac:dyDescent="0.4">
      <c r="A8" s="10" t="s">
        <v>72</v>
      </c>
      <c r="B8" s="8">
        <f>'Peça Orçamentária - Analítica'!B87</f>
        <v>6191000</v>
      </c>
      <c r="C8" s="8">
        <f>'Peça Orçamentária - Analítica'!C87</f>
        <v>5222296.8020000001</v>
      </c>
      <c r="D8" s="8">
        <f>'Peça Orçamentária - Analítica'!D87</f>
        <v>968703.19800000009</v>
      </c>
      <c r="E8" s="28">
        <f>'Peça Orçamentária - Analítica'!E87</f>
        <v>5601200</v>
      </c>
      <c r="F8" s="48" t="s">
        <v>155</v>
      </c>
      <c r="G8" s="49">
        <v>0.2</v>
      </c>
      <c r="H8" s="68">
        <f>401000*20%</f>
        <v>80200</v>
      </c>
      <c r="I8" s="69"/>
      <c r="J8" s="69"/>
      <c r="K8" s="70"/>
    </row>
    <row r="9" spans="1:11" ht="13.5" customHeight="1" x14ac:dyDescent="0.4">
      <c r="A9" s="10" t="s">
        <v>81</v>
      </c>
      <c r="B9" s="8">
        <f>'Peça Orçamentária - Analítica'!B96</f>
        <v>21600</v>
      </c>
      <c r="C9" s="8">
        <f>'Peça Orçamentária - Analítica'!C96</f>
        <v>8145.96</v>
      </c>
      <c r="D9" s="8">
        <f>'Peça Orçamentária - Analítica'!D96</f>
        <v>13454.04</v>
      </c>
      <c r="E9" s="8">
        <f>'Peça Orçamentária - Analítica'!E96</f>
        <v>21600</v>
      </c>
      <c r="F9" s="51"/>
      <c r="G9" s="52"/>
      <c r="H9" s="53"/>
      <c r="I9" s="51"/>
      <c r="J9" s="51"/>
      <c r="K9" s="51"/>
    </row>
    <row r="10" spans="1:11" ht="13.5" customHeight="1" x14ac:dyDescent="0.3">
      <c r="A10" s="10" t="s">
        <v>85</v>
      </c>
      <c r="B10" s="8">
        <f>'Peça Orçamentária - Analítica'!B100</f>
        <v>464700</v>
      </c>
      <c r="C10" s="8">
        <f>'Peça Orçamentária - Analítica'!C100</f>
        <v>170334.6</v>
      </c>
      <c r="D10" s="8">
        <f>'Peça Orçamentária - Analítica'!D100</f>
        <v>294365.40000000002</v>
      </c>
      <c r="E10" s="28">
        <f>'Peça Orçamentária - Analítica'!E100</f>
        <v>484000</v>
      </c>
      <c r="F10" s="71" t="s">
        <v>157</v>
      </c>
      <c r="G10" s="71"/>
      <c r="H10" s="72">
        <f>SUM(H5:H9)</f>
        <v>513988</v>
      </c>
      <c r="I10" s="72"/>
      <c r="J10" s="72"/>
      <c r="K10" s="72"/>
    </row>
    <row r="11" spans="1:11" ht="13.5" customHeight="1" x14ac:dyDescent="0.3">
      <c r="A11" s="10" t="s">
        <v>96</v>
      </c>
      <c r="B11" s="8">
        <f>'Peça Orçamentária - Analítica'!B113</f>
        <v>1118000</v>
      </c>
      <c r="C11" s="8">
        <f>'Peça Orçamentária - Analítica'!C113</f>
        <v>3791029.48</v>
      </c>
      <c r="D11" s="8">
        <f>'Peça Orçamentária - Analítica'!D113</f>
        <v>-2673029.48</v>
      </c>
      <c r="E11" s="28">
        <f>'Peça Orçamentária - Analítica'!E113</f>
        <v>1803500</v>
      </c>
      <c r="F11" s="71"/>
      <c r="G11" s="71"/>
      <c r="H11" s="72"/>
      <c r="I11" s="72"/>
      <c r="J11" s="72"/>
      <c r="K11" s="72"/>
    </row>
    <row r="12" spans="1:11" ht="13.5" customHeight="1" x14ac:dyDescent="0.3">
      <c r="A12" s="10" t="s">
        <v>97</v>
      </c>
      <c r="B12" s="8">
        <f>'Peça Orçamentária - Analítica'!B122</f>
        <v>476500</v>
      </c>
      <c r="C12" s="8">
        <f>'Peça Orçamentária - Analítica'!C122</f>
        <v>499750.88999999996</v>
      </c>
      <c r="D12" s="8">
        <f>'Peça Orçamentária - Analítica'!D122</f>
        <v>-23250.889999999978</v>
      </c>
      <c r="E12" s="28">
        <f>'Peça Orçamentária - Analítica'!E122</f>
        <v>560500</v>
      </c>
      <c r="F12" s="71"/>
      <c r="G12" s="71"/>
      <c r="H12" s="72"/>
      <c r="I12" s="72"/>
      <c r="J12" s="72"/>
      <c r="K12" s="72"/>
    </row>
    <row r="13" spans="1:11" ht="13.5" customHeight="1" x14ac:dyDescent="0.3">
      <c r="A13" s="10" t="s">
        <v>103</v>
      </c>
      <c r="B13" s="8">
        <f>'Peça Orçamentária - Analítica'!B128</f>
        <v>23520</v>
      </c>
      <c r="C13" s="8">
        <f>'Peça Orçamentária - Analítica'!C128</f>
        <v>29110.44</v>
      </c>
      <c r="D13" s="8">
        <f>'Peça Orçamentária - Analítica'!D128</f>
        <v>-5590.44</v>
      </c>
      <c r="E13" s="28">
        <f>'Peça Orçamentária - Analítica'!E128</f>
        <v>19000</v>
      </c>
      <c r="F13" s="71"/>
      <c r="G13" s="71"/>
      <c r="H13" s="72"/>
      <c r="I13" s="72"/>
      <c r="J13" s="72"/>
      <c r="K13" s="72"/>
    </row>
    <row r="14" spans="1:11" ht="13.5" customHeight="1" x14ac:dyDescent="0.3">
      <c r="A14" s="13" t="s">
        <v>107</v>
      </c>
      <c r="B14" s="14">
        <f>'Peça Orçamentária - Analítica'!B132</f>
        <v>11485910</v>
      </c>
      <c r="C14" s="14">
        <f>'Peça Orçamentária - Analítica'!C132</f>
        <v>12304170.141999995</v>
      </c>
      <c r="D14" s="14">
        <f>'Peça Orçamentária - Analítica'!D132</f>
        <v>-821447.86199999996</v>
      </c>
      <c r="E14" s="50">
        <f>'Peça Orçamentária - Analítica'!E132</f>
        <v>12203800</v>
      </c>
      <c r="F14" s="71"/>
      <c r="G14" s="71"/>
      <c r="H14" s="72"/>
      <c r="I14" s="72"/>
      <c r="J14" s="72"/>
      <c r="K14" s="72"/>
    </row>
    <row r="16" spans="1:11" ht="13.5" customHeight="1" x14ac:dyDescent="0.3">
      <c r="A16" s="63" t="s">
        <v>108</v>
      </c>
      <c r="B16" s="2" t="s">
        <v>138</v>
      </c>
      <c r="C16" s="2" t="s">
        <v>138</v>
      </c>
      <c r="D16" s="2" t="s">
        <v>2</v>
      </c>
      <c r="E16" s="2" t="s">
        <v>140</v>
      </c>
    </row>
    <row r="17" spans="1:5" ht="13.5" customHeight="1" x14ac:dyDescent="0.3">
      <c r="A17" s="63"/>
      <c r="B17" s="3" t="s">
        <v>3</v>
      </c>
      <c r="C17" s="3" t="s">
        <v>4</v>
      </c>
      <c r="D17" s="3">
        <v>2025</v>
      </c>
      <c r="E17" s="4" t="s">
        <v>139</v>
      </c>
    </row>
    <row r="18" spans="1:5" ht="13.5" customHeight="1" x14ac:dyDescent="0.3">
      <c r="A18" s="10" t="s">
        <v>130</v>
      </c>
      <c r="B18" s="8">
        <f>'Peça Orçamentária - Analítica'!B137</f>
        <v>11079954.960000001</v>
      </c>
      <c r="C18" s="8">
        <f>'Peça Orçamentária - Analítica'!C137</f>
        <v>10584461.51</v>
      </c>
      <c r="D18" s="8">
        <f>'Peça Orçamentária - Analítica'!D137</f>
        <v>-495493.45000000112</v>
      </c>
      <c r="E18" s="8">
        <f>'Peça Orçamentária - Analítica'!E137</f>
        <v>12187950.456</v>
      </c>
    </row>
    <row r="19" spans="1:5" ht="13.5" customHeight="1" x14ac:dyDescent="0.3">
      <c r="A19" s="15" t="s">
        <v>114</v>
      </c>
      <c r="B19" s="8">
        <f>'Peça Orçamentária - Analítica'!B140</f>
        <v>327000</v>
      </c>
      <c r="C19" s="8">
        <f>'Peça Orçamentária - Analítica'!C140</f>
        <v>591779.94999999995</v>
      </c>
      <c r="D19" s="8">
        <f>'Peça Orçamentária - Analítica'!D140</f>
        <v>264779.95</v>
      </c>
      <c r="E19" s="8">
        <f>'Peça Orçamentária - Analítica'!E140</f>
        <v>301700</v>
      </c>
    </row>
    <row r="20" spans="1:5" ht="13.5" customHeight="1" x14ac:dyDescent="0.3">
      <c r="A20" s="23" t="s">
        <v>113</v>
      </c>
      <c r="B20" s="14">
        <f>'Peça Orçamentária - Analítica'!B146</f>
        <v>11027387.120000001</v>
      </c>
      <c r="C20" s="14">
        <f>'Peça Orçamentária - Analítica'!C146</f>
        <v>10521816.029999999</v>
      </c>
      <c r="D20" s="14">
        <f>'Peça Orçamentária - Analítica'!D146</f>
        <v>-505571.09000000171</v>
      </c>
      <c r="E20" s="14">
        <f>'Peça Orçamentária - Analítica'!E146</f>
        <v>12220125.832</v>
      </c>
    </row>
    <row r="22" spans="1:5" ht="13.5" customHeight="1" x14ac:dyDescent="0.35">
      <c r="C22" s="18"/>
    </row>
  </sheetData>
  <mergeCells count="10">
    <mergeCell ref="A1:E1"/>
    <mergeCell ref="A2:A3"/>
    <mergeCell ref="A16:A17"/>
    <mergeCell ref="H8:K8"/>
    <mergeCell ref="F10:G14"/>
    <mergeCell ref="H10:K14"/>
    <mergeCell ref="F1:K4"/>
    <mergeCell ref="H5:K5"/>
    <mergeCell ref="H6:K6"/>
    <mergeCell ref="H7:K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Peça Orçamentária - Analítica</vt:lpstr>
      <vt:lpstr>Peça Orçamentária - Sintética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Caceres</dc:creator>
  <cp:lastModifiedBy>Lenovo</cp:lastModifiedBy>
  <cp:lastPrinted>2025-09-17T18:10:39Z</cp:lastPrinted>
  <dcterms:created xsi:type="dcterms:W3CDTF">2024-10-02T17:54:56Z</dcterms:created>
  <dcterms:modified xsi:type="dcterms:W3CDTF">2025-10-09T12:15:42Z</dcterms:modified>
</cp:coreProperties>
</file>